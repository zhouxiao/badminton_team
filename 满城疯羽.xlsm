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iao\Desktop\"/>
    </mc:Choice>
  </mc:AlternateContent>
  <bookViews>
    <workbookView xWindow="0" yWindow="0" windowWidth="20730" windowHeight="11760" activeTab="3"/>
  </bookViews>
  <sheets>
    <sheet name="成员信息" sheetId="1" r:id="rId1"/>
    <sheet name="比赛数据-双打" sheetId="2" r:id="rId2"/>
    <sheet name="比赛数据-单打" sheetId="3" r:id="rId3"/>
    <sheet name="详细分析" sheetId="4" r:id="rId4"/>
  </sheets>
  <functionGroups builtInGroupCount="18"/>
  <definedNames>
    <definedName name="_xlnm._FilterDatabase" localSheetId="1" hidden="1">'比赛数据-双打'!$L$1:$Q$1</definedName>
    <definedName name="_xlnm._FilterDatabase" localSheetId="0" hidden="1">成员信息!$A$1:$AE$50</definedName>
    <definedName name="成员">成员信息!$A$2:$A$20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4" i="1" l="1"/>
  <c r="H54" i="1" s="1"/>
  <c r="K84" i="1"/>
  <c r="H84" i="1" s="1"/>
  <c r="K58" i="1"/>
  <c r="H58" i="1" s="1"/>
  <c r="K92" i="1"/>
  <c r="H92" i="1" s="1"/>
  <c r="K61" i="1"/>
  <c r="H61" i="1" s="1"/>
  <c r="K71" i="1"/>
  <c r="H71" i="1" s="1"/>
  <c r="K33" i="1"/>
  <c r="H33" i="1" s="1"/>
  <c r="K98" i="1"/>
  <c r="H98" i="1" s="1"/>
  <c r="K40" i="1"/>
  <c r="H40" i="1" s="1"/>
  <c r="K49" i="1"/>
  <c r="H49" i="1" s="1"/>
  <c r="K14" i="1"/>
  <c r="H14" i="1" s="1"/>
  <c r="K77" i="1"/>
  <c r="H77" i="1" s="1"/>
  <c r="K11" i="1"/>
  <c r="H11" i="1" s="1"/>
  <c r="K96" i="1"/>
  <c r="H96" i="1" s="1"/>
  <c r="K20" i="1"/>
  <c r="H20" i="1" s="1"/>
  <c r="K4" i="1"/>
  <c r="H4" i="1" s="1"/>
  <c r="K29" i="1"/>
  <c r="H29" i="1" s="1"/>
  <c r="K22" i="1"/>
  <c r="H22" i="1" s="1"/>
  <c r="K74" i="1"/>
  <c r="H74" i="1" s="1"/>
  <c r="K59" i="1"/>
  <c r="H59" i="1" s="1"/>
  <c r="K60" i="1"/>
  <c r="H60" i="1" s="1"/>
  <c r="K32" i="1"/>
  <c r="H32" i="1" s="1"/>
  <c r="K66" i="1"/>
  <c r="H66" i="1" s="1"/>
  <c r="K27" i="1"/>
  <c r="H27" i="1" s="1"/>
  <c r="K67" i="1"/>
  <c r="H67" i="1" s="1"/>
  <c r="K64" i="1"/>
  <c r="H64" i="1" s="1"/>
  <c r="K26" i="1"/>
  <c r="H26" i="1" s="1"/>
  <c r="K72" i="1"/>
  <c r="H72" i="1" s="1"/>
  <c r="K17" i="1"/>
  <c r="H17" i="1" s="1"/>
  <c r="K8" i="1"/>
  <c r="H8" i="1" s="1"/>
  <c r="K76" i="1"/>
  <c r="H76" i="1" s="1"/>
  <c r="K103" i="1"/>
  <c r="H103" i="1" s="1"/>
  <c r="K104" i="1"/>
  <c r="H104" i="1" s="1"/>
  <c r="K82" i="1"/>
  <c r="H82" i="1" s="1"/>
  <c r="K43" i="1"/>
  <c r="H43" i="1" s="1"/>
  <c r="K91" i="1"/>
  <c r="H91" i="1" s="1"/>
  <c r="K100" i="1"/>
  <c r="H100" i="1" s="1"/>
  <c r="K5" i="1"/>
  <c r="H5" i="1" s="1"/>
  <c r="K73" i="1"/>
  <c r="H73" i="1" s="1"/>
  <c r="K89" i="1"/>
  <c r="H89" i="1" s="1"/>
  <c r="K81" i="1"/>
  <c r="H81" i="1" s="1"/>
  <c r="K69" i="1"/>
  <c r="H69" i="1" s="1"/>
  <c r="K56" i="1"/>
  <c r="H56" i="1" s="1"/>
  <c r="K23" i="1"/>
  <c r="H23" i="1" s="1"/>
  <c r="K37" i="1"/>
  <c r="H37" i="1" s="1"/>
  <c r="K70" i="1"/>
  <c r="H70" i="1" s="1"/>
  <c r="K34" i="1"/>
  <c r="H34" i="1" s="1"/>
  <c r="K46" i="1"/>
  <c r="H46" i="1" s="1"/>
  <c r="K16" i="1"/>
  <c r="H16" i="1" s="1"/>
  <c r="K80" i="1"/>
  <c r="H80" i="1" s="1"/>
  <c r="K7" i="1"/>
  <c r="H7" i="1" s="1"/>
  <c r="K78" i="1"/>
  <c r="H78" i="1" s="1"/>
  <c r="K13" i="1"/>
  <c r="H13" i="1" s="1"/>
  <c r="K24" i="1"/>
  <c r="H24" i="1" s="1"/>
  <c r="K75" i="1"/>
  <c r="H75" i="1" s="1"/>
  <c r="K28" i="1"/>
  <c r="H28" i="1" s="1"/>
  <c r="K3" i="1"/>
  <c r="H3" i="1" s="1"/>
  <c r="K65" i="1"/>
  <c r="H65" i="1" s="1"/>
  <c r="K19" i="1"/>
  <c r="H19" i="1" s="1"/>
  <c r="K42" i="1"/>
  <c r="H42" i="1" s="1"/>
  <c r="K79" i="1"/>
  <c r="H79" i="1" s="1"/>
  <c r="K47" i="1"/>
  <c r="H47" i="1" s="1"/>
  <c r="K35" i="1"/>
  <c r="H35" i="1" s="1"/>
  <c r="K2" i="1"/>
  <c r="H2" i="1" s="1"/>
  <c r="K95" i="1"/>
  <c r="H95" i="1" s="1"/>
  <c r="K105" i="1"/>
  <c r="H105" i="1" s="1"/>
  <c r="K106" i="1"/>
  <c r="H106" i="1" s="1"/>
  <c r="K39" i="1"/>
  <c r="H39" i="1" s="1"/>
  <c r="K31" i="1"/>
  <c r="H31" i="1" s="1"/>
  <c r="K12" i="1"/>
  <c r="H12" i="1" s="1"/>
  <c r="AE26" i="1"/>
  <c r="AB26" i="1" s="1"/>
  <c r="AE25" i="1"/>
  <c r="AB25" i="1"/>
  <c r="AE24" i="1"/>
  <c r="AB24" i="1" s="1"/>
  <c r="AE23" i="1"/>
  <c r="AB23" i="1"/>
  <c r="AE22" i="1"/>
  <c r="AB22" i="1" s="1"/>
  <c r="AE21" i="1"/>
  <c r="AB21" i="1" s="1"/>
  <c r="AE20" i="1"/>
  <c r="AB20" i="1" s="1"/>
  <c r="AE19" i="1"/>
  <c r="AB19" i="1" s="1"/>
  <c r="AE18" i="1"/>
  <c r="AB18" i="1" s="1"/>
  <c r="AE17" i="1"/>
  <c r="AB17" i="1"/>
  <c r="AE16" i="1"/>
  <c r="AB16" i="1" s="1"/>
  <c r="AE15" i="1"/>
  <c r="AB15" i="1"/>
  <c r="AE14" i="1"/>
  <c r="AB14" i="1" s="1"/>
  <c r="AE13" i="1"/>
  <c r="AB13" i="1" s="1"/>
  <c r="AE12" i="1"/>
  <c r="AB12" i="1" s="1"/>
  <c r="AE11" i="1"/>
  <c r="AB11" i="1" s="1"/>
  <c r="AE10" i="1"/>
  <c r="AB10" i="1" s="1"/>
  <c r="AE9" i="1"/>
  <c r="AB9" i="1"/>
  <c r="AE8" i="1"/>
  <c r="AB8" i="1" s="1"/>
  <c r="B1" i="1"/>
  <c r="K97" i="1" l="1"/>
  <c r="H97" i="1" s="1"/>
  <c r="K53" i="1"/>
  <c r="K25" i="1"/>
  <c r="K36" i="1"/>
  <c r="K101" i="1"/>
  <c r="K48" i="1"/>
  <c r="K55" i="1"/>
  <c r="K88" i="1"/>
  <c r="K68" i="1"/>
  <c r="K41" i="1"/>
  <c r="K51" i="1"/>
  <c r="K62" i="1"/>
  <c r="K50" i="1"/>
  <c r="K87" i="1"/>
  <c r="K99" i="1"/>
  <c r="K102" i="1"/>
  <c r="K6" i="1"/>
  <c r="K94" i="1"/>
  <c r="K52" i="1"/>
  <c r="K90" i="1"/>
  <c r="K21" i="1"/>
  <c r="K85" i="1"/>
  <c r="K10" i="1"/>
  <c r="K18" i="1"/>
  <c r="K44" i="1"/>
  <c r="K9" i="1"/>
  <c r="K45" i="1"/>
  <c r="K38" i="1"/>
  <c r="H38" i="1" s="1"/>
  <c r="K83" i="1"/>
  <c r="H83" i="1" s="1"/>
  <c r="K15" i="1"/>
  <c r="H15" i="1" s="1"/>
  <c r="K57" i="1"/>
  <c r="H57" i="1" s="1"/>
  <c r="K86" i="1"/>
  <c r="H86" i="1" s="1"/>
  <c r="K30" i="1"/>
  <c r="H30" i="1" s="1"/>
  <c r="K63" i="1"/>
  <c r="H63" i="1" s="1"/>
  <c r="K93" i="1"/>
  <c r="H90" i="1" l="1"/>
  <c r="H41" i="1"/>
  <c r="H51" i="1"/>
  <c r="H48" i="1"/>
  <c r="H52" i="1"/>
  <c r="H101" i="1"/>
  <c r="H62" i="1"/>
  <c r="H44" i="1"/>
  <c r="H87" i="1"/>
  <c r="H21" i="1"/>
  <c r="H85" i="1"/>
  <c r="H68" i="1"/>
  <c r="H45" i="1"/>
  <c r="H88" i="1"/>
  <c r="H25" i="1"/>
  <c r="H18" i="1"/>
  <c r="H53" i="1"/>
  <c r="H36" i="1"/>
  <c r="H102" i="1"/>
  <c r="H50" i="1"/>
  <c r="H10" i="1"/>
  <c r="H55" i="1"/>
  <c r="H99" i="1"/>
  <c r="H6" i="1"/>
  <c r="H93" i="1"/>
  <c r="H9" i="1"/>
  <c r="H94" i="1"/>
</calcChain>
</file>

<file path=xl/sharedStrings.xml><?xml version="1.0" encoding="utf-8"?>
<sst xmlns="http://schemas.openxmlformats.org/spreadsheetml/2006/main" count="1321" uniqueCount="203">
  <si>
    <t>日期</t>
    <phoneticPr fontId="1" type="noConversion"/>
  </si>
  <si>
    <t>XJ-谢军</t>
    <phoneticPr fontId="1" type="noConversion"/>
  </si>
  <si>
    <t>ZX-周霄</t>
    <phoneticPr fontId="1" type="noConversion"/>
  </si>
  <si>
    <t>BX-白黠</t>
    <phoneticPr fontId="1" type="noConversion"/>
  </si>
  <si>
    <t>WX-王欣</t>
    <phoneticPr fontId="1" type="noConversion"/>
  </si>
  <si>
    <t>MM-陌陌</t>
    <phoneticPr fontId="1" type="noConversion"/>
  </si>
  <si>
    <t>BB-波波</t>
    <phoneticPr fontId="1" type="noConversion"/>
  </si>
  <si>
    <t>比分</t>
    <phoneticPr fontId="1" type="noConversion"/>
  </si>
  <si>
    <t>对阵一</t>
    <phoneticPr fontId="1" type="noConversion"/>
  </si>
  <si>
    <t>对阵二</t>
    <phoneticPr fontId="1" type="noConversion"/>
  </si>
  <si>
    <t>XC-小草</t>
    <phoneticPr fontId="1" type="noConversion"/>
  </si>
  <si>
    <t>组合一</t>
    <phoneticPr fontId="1" type="noConversion"/>
  </si>
  <si>
    <t>组合二</t>
    <phoneticPr fontId="1" type="noConversion"/>
  </si>
  <si>
    <t>排名</t>
    <phoneticPr fontId="1" type="noConversion"/>
  </si>
  <si>
    <t>胜场</t>
    <phoneticPr fontId="1" type="noConversion"/>
  </si>
  <si>
    <t>负场</t>
    <phoneticPr fontId="1" type="noConversion"/>
  </si>
  <si>
    <t>总胜分</t>
    <phoneticPr fontId="1" type="noConversion"/>
  </si>
  <si>
    <t>总负分</t>
    <phoneticPr fontId="1" type="noConversion"/>
  </si>
  <si>
    <t>胜率</t>
    <phoneticPr fontId="1" type="noConversion"/>
  </si>
  <si>
    <t>总场次</t>
    <phoneticPr fontId="1" type="noConversion"/>
  </si>
  <si>
    <t>成员</t>
    <phoneticPr fontId="1" type="noConversion"/>
  </si>
  <si>
    <t>双打实力榜</t>
    <phoneticPr fontId="1" type="noConversion"/>
  </si>
  <si>
    <t>单打实力榜</t>
    <phoneticPr fontId="1" type="noConversion"/>
  </si>
  <si>
    <t>XJ-谢军</t>
  </si>
  <si>
    <t>ZX-周霄</t>
  </si>
  <si>
    <t>YW-陈昱伟</t>
  </si>
  <si>
    <t>YH-戴银华</t>
  </si>
  <si>
    <t>YF-尹闫峰</t>
  </si>
  <si>
    <t>ZS-钻石</t>
  </si>
  <si>
    <t>ZS-钻石</t>
    <phoneticPr fontId="1" type="noConversion"/>
  </si>
  <si>
    <t>JM-老罗</t>
  </si>
  <si>
    <t>MX-老龙</t>
  </si>
  <si>
    <t>WX-王欣</t>
  </si>
  <si>
    <t>HJ-李辉军</t>
  </si>
  <si>
    <t>XJ</t>
    <phoneticPr fontId="1" type="noConversion"/>
  </si>
  <si>
    <t>YW</t>
    <phoneticPr fontId="1" type="noConversion"/>
  </si>
  <si>
    <t>MX-龙明宣</t>
    <phoneticPr fontId="1" type="noConversion"/>
  </si>
  <si>
    <t>XG-孙晓光</t>
    <phoneticPr fontId="1" type="noConversion"/>
  </si>
  <si>
    <t>HJ-李辉军</t>
    <phoneticPr fontId="1" type="noConversion"/>
  </si>
  <si>
    <t>YF-尹衍锋</t>
    <phoneticPr fontId="1" type="noConversion"/>
  </si>
  <si>
    <t>JM-罗剑民</t>
    <phoneticPr fontId="1" type="noConversion"/>
  </si>
  <si>
    <t>YW-陈昱伟</t>
    <phoneticPr fontId="1" type="noConversion"/>
  </si>
  <si>
    <t>YH-戴银华</t>
    <phoneticPr fontId="1" type="noConversion"/>
  </si>
  <si>
    <t>XY-梅小鱼</t>
    <phoneticPr fontId="1" type="noConversion"/>
  </si>
  <si>
    <t>SS-司思</t>
    <phoneticPr fontId="1" type="noConversion"/>
  </si>
  <si>
    <t>MG-梅挂</t>
    <phoneticPr fontId="1" type="noConversion"/>
  </si>
  <si>
    <t>日期</t>
    <phoneticPr fontId="1" type="noConversion"/>
  </si>
  <si>
    <t>2015/02/08</t>
    <phoneticPr fontId="1" type="noConversion"/>
  </si>
  <si>
    <t>2015/02/14</t>
    <phoneticPr fontId="1" type="noConversion"/>
  </si>
  <si>
    <t>BB-波波</t>
  </si>
  <si>
    <t>BX-白黠</t>
  </si>
  <si>
    <t>MM-陌陌</t>
  </si>
  <si>
    <t>2015/03/01</t>
    <phoneticPr fontId="1" type="noConversion"/>
  </si>
  <si>
    <t>XY-梅小鱼</t>
  </si>
  <si>
    <t>XC-小草</t>
  </si>
  <si>
    <t>JM-罗剑民</t>
  </si>
  <si>
    <t>XG-孙晓光</t>
  </si>
  <si>
    <t>MX-龙明宣</t>
  </si>
  <si>
    <t>SS-思思</t>
  </si>
  <si>
    <t>YF-尹衍锋</t>
  </si>
  <si>
    <t>MG-梅挂</t>
  </si>
  <si>
    <t>SS-司思</t>
  </si>
  <si>
    <t>2015/02/08</t>
    <phoneticPr fontId="1" type="noConversion"/>
  </si>
  <si>
    <t>2015/03/29</t>
    <phoneticPr fontId="1" type="noConversion"/>
  </si>
  <si>
    <t>YW</t>
    <phoneticPr fontId="1" type="noConversion"/>
  </si>
  <si>
    <t>YF</t>
    <phoneticPr fontId="1" type="noConversion"/>
  </si>
  <si>
    <t>XJ</t>
    <phoneticPr fontId="1" type="noConversion"/>
  </si>
  <si>
    <t>HJ</t>
    <phoneticPr fontId="1" type="noConversion"/>
  </si>
  <si>
    <t>MM</t>
  </si>
  <si>
    <t>MM</t>
    <phoneticPr fontId="1" type="noConversion"/>
  </si>
  <si>
    <t>胜率</t>
    <phoneticPr fontId="1" type="noConversion"/>
  </si>
  <si>
    <t>总负分</t>
    <phoneticPr fontId="1" type="noConversion"/>
  </si>
  <si>
    <t>HJ</t>
    <phoneticPr fontId="1" type="noConversion"/>
  </si>
  <si>
    <t>YF</t>
    <phoneticPr fontId="1" type="noConversion"/>
  </si>
  <si>
    <t>罗剑民+陈昱伟</t>
    <phoneticPr fontId="1" type="noConversion"/>
  </si>
  <si>
    <t>波波+陌陌</t>
    <phoneticPr fontId="1" type="noConversion"/>
  </si>
  <si>
    <t>周霄+陌陌</t>
    <phoneticPr fontId="1" type="noConversion"/>
  </si>
  <si>
    <t>李辉军+陌陌</t>
    <phoneticPr fontId="1" type="noConversion"/>
  </si>
  <si>
    <t>李辉军+白黠</t>
    <phoneticPr fontId="1" type="noConversion"/>
  </si>
  <si>
    <t>尹衍锋+李辉军</t>
    <phoneticPr fontId="1" type="noConversion"/>
  </si>
  <si>
    <t>小草+白黠</t>
    <phoneticPr fontId="1" type="noConversion"/>
  </si>
  <si>
    <t>周霄+梅小鱼</t>
    <phoneticPr fontId="1" type="noConversion"/>
  </si>
  <si>
    <t>尹衍锋+梅小鱼</t>
    <phoneticPr fontId="1" type="noConversion"/>
  </si>
  <si>
    <t>尹衍锋+龙明宣</t>
    <phoneticPr fontId="1" type="noConversion"/>
  </si>
  <si>
    <t>李辉军+龙明宣</t>
    <phoneticPr fontId="1" type="noConversion"/>
  </si>
  <si>
    <t>白黠+龙明宣</t>
    <phoneticPr fontId="1" type="noConversion"/>
  </si>
  <si>
    <t>周霄+孙晓光</t>
    <phoneticPr fontId="1" type="noConversion"/>
  </si>
  <si>
    <t>陈昱伟+龙明宣</t>
    <phoneticPr fontId="1" type="noConversion"/>
  </si>
  <si>
    <t>孙晓光+小草</t>
    <phoneticPr fontId="1" type="noConversion"/>
  </si>
  <si>
    <t>尹衍锋+尹衍锋</t>
    <phoneticPr fontId="1" type="noConversion"/>
  </si>
  <si>
    <t>钻石+陌陌</t>
    <phoneticPr fontId="1" type="noConversion"/>
  </si>
  <si>
    <t>孙晓光+尹衍锋</t>
    <phoneticPr fontId="1" type="noConversion"/>
  </si>
  <si>
    <t>司思+陈昱伟</t>
    <phoneticPr fontId="1" type="noConversion"/>
  </si>
  <si>
    <t>周霄+小草</t>
    <phoneticPr fontId="1" type="noConversion"/>
  </si>
  <si>
    <t>李辉军+钻石</t>
    <phoneticPr fontId="1" type="noConversion"/>
  </si>
  <si>
    <t>梅挂+白黠</t>
    <phoneticPr fontId="1" type="noConversion"/>
  </si>
  <si>
    <t>尹衍锋+白黠</t>
    <phoneticPr fontId="1" type="noConversion"/>
  </si>
  <si>
    <t>孙晓光+罗剑民</t>
    <phoneticPr fontId="1" type="noConversion"/>
  </si>
  <si>
    <t>孙晓光+波波</t>
    <phoneticPr fontId="1" type="noConversion"/>
  </si>
  <si>
    <t>梅挂+钻石</t>
    <phoneticPr fontId="1" type="noConversion"/>
  </si>
  <si>
    <t>梅挂+罗剑民</t>
    <phoneticPr fontId="1" type="noConversion"/>
  </si>
  <si>
    <t>白黠+陌陌</t>
    <phoneticPr fontId="1" type="noConversion"/>
  </si>
  <si>
    <t>波波+龙明宣</t>
    <phoneticPr fontId="1" type="noConversion"/>
  </si>
  <si>
    <t>陌陌+龙明宣</t>
    <phoneticPr fontId="1" type="noConversion"/>
  </si>
  <si>
    <t>陈昱伟+陌陌</t>
    <phoneticPr fontId="1" type="noConversion"/>
  </si>
  <si>
    <t>小草+陌陌</t>
    <phoneticPr fontId="1" type="noConversion"/>
  </si>
  <si>
    <t>王欣+罗剑民</t>
    <phoneticPr fontId="1" type="noConversion"/>
  </si>
  <si>
    <t>司思+白黠</t>
    <phoneticPr fontId="1" type="noConversion"/>
  </si>
  <si>
    <t>司思+龙明宣</t>
    <phoneticPr fontId="1" type="noConversion"/>
  </si>
  <si>
    <t>司思+尹衍锋</t>
    <phoneticPr fontId="1" type="noConversion"/>
  </si>
  <si>
    <t>孙晓光+龙明宣</t>
    <phoneticPr fontId="1" type="noConversion"/>
  </si>
  <si>
    <t>罗剑民+陌陌</t>
    <phoneticPr fontId="1" type="noConversion"/>
  </si>
  <si>
    <t>周霄+尹衍锋</t>
    <phoneticPr fontId="1" type="noConversion"/>
  </si>
  <si>
    <t>周霄+波波</t>
    <phoneticPr fontId="1" type="noConversion"/>
  </si>
  <si>
    <t>司思+李辉军</t>
    <phoneticPr fontId="1" type="noConversion"/>
  </si>
  <si>
    <t>孙晓光+白黠</t>
    <phoneticPr fontId="1" type="noConversion"/>
  </si>
  <si>
    <t>李辉军+陈昱伟</t>
    <phoneticPr fontId="1" type="noConversion"/>
  </si>
  <si>
    <t>尹衍锋+波波</t>
    <phoneticPr fontId="1" type="noConversion"/>
  </si>
  <si>
    <t>周霄+陈昱伟</t>
    <phoneticPr fontId="1" type="noConversion"/>
  </si>
  <si>
    <t>尹衍锋+陈昱伟</t>
    <phoneticPr fontId="1" type="noConversion"/>
  </si>
  <si>
    <t>罗剑民+钻石</t>
    <phoneticPr fontId="1" type="noConversion"/>
  </si>
  <si>
    <t>谢军+陌陌</t>
    <phoneticPr fontId="1" type="noConversion"/>
  </si>
  <si>
    <t>罗剑民+谢军</t>
    <phoneticPr fontId="1" type="noConversion"/>
  </si>
  <si>
    <t>尹衍锋+谢军</t>
    <phoneticPr fontId="1" type="noConversion"/>
  </si>
  <si>
    <t>尹衍锋+罗剑民</t>
    <phoneticPr fontId="1" type="noConversion"/>
  </si>
  <si>
    <t>谢军+钻石</t>
    <phoneticPr fontId="1" type="noConversion"/>
  </si>
  <si>
    <t>谢军+龙明宣</t>
    <phoneticPr fontId="1" type="noConversion"/>
  </si>
  <si>
    <t>戴银华+王欣</t>
    <phoneticPr fontId="1" type="noConversion"/>
  </si>
  <si>
    <t>罗剑民+龙明宣</t>
    <phoneticPr fontId="1" type="noConversion"/>
  </si>
  <si>
    <t>周霄+谢军</t>
    <phoneticPr fontId="1" type="noConversion"/>
  </si>
  <si>
    <t>周霄+王欣</t>
    <phoneticPr fontId="1" type="noConversion"/>
  </si>
  <si>
    <t>戴银华+钻石</t>
    <phoneticPr fontId="1" type="noConversion"/>
  </si>
  <si>
    <t>王欣+钻石</t>
    <phoneticPr fontId="1" type="noConversion"/>
  </si>
  <si>
    <t>周霄+李辉军</t>
    <phoneticPr fontId="1" type="noConversion"/>
  </si>
  <si>
    <t>李辉军+梅小鱼</t>
    <phoneticPr fontId="1" type="noConversion"/>
  </si>
  <si>
    <t>梅小鱼+梅挂</t>
    <phoneticPr fontId="1" type="noConversion"/>
  </si>
  <si>
    <t>小草+钻石</t>
    <phoneticPr fontId="1" type="noConversion"/>
  </si>
  <si>
    <t>小草+梅小鱼</t>
    <phoneticPr fontId="1" type="noConversion"/>
  </si>
  <si>
    <t>胜场统计</t>
    <phoneticPr fontId="1" type="noConversion"/>
  </si>
  <si>
    <t>尹衍锋+钻石</t>
    <phoneticPr fontId="1" type="noConversion"/>
  </si>
  <si>
    <t>戴银华+谢军</t>
    <phoneticPr fontId="1" type="noConversion"/>
  </si>
  <si>
    <t>周霄+戴银华</t>
    <phoneticPr fontId="1" type="noConversion"/>
  </si>
  <si>
    <t>周霄+钻石</t>
    <phoneticPr fontId="1" type="noConversion"/>
  </si>
  <si>
    <t>周霄+龙明宣</t>
    <phoneticPr fontId="1" type="noConversion"/>
  </si>
  <si>
    <t>尹衍锋+王欣</t>
    <phoneticPr fontId="1" type="noConversion"/>
  </si>
  <si>
    <t>钻石+陈昱伟</t>
    <phoneticPr fontId="1" type="noConversion"/>
  </si>
  <si>
    <t>周霄+罗剑民</t>
    <phoneticPr fontId="1" type="noConversion"/>
  </si>
  <si>
    <t>王欣+龙明宣</t>
    <phoneticPr fontId="1" type="noConversion"/>
  </si>
  <si>
    <t>戴银华+龙明宣</t>
    <phoneticPr fontId="1" type="noConversion"/>
  </si>
  <si>
    <t>白黠+谢军</t>
    <phoneticPr fontId="1" type="noConversion"/>
  </si>
  <si>
    <t>白黠+罗剑民</t>
    <phoneticPr fontId="1" type="noConversion"/>
  </si>
  <si>
    <t>周霄+白黠</t>
    <phoneticPr fontId="1" type="noConversion"/>
  </si>
  <si>
    <t>波波+谢军</t>
    <phoneticPr fontId="1" type="noConversion"/>
  </si>
  <si>
    <t>波波+白黠</t>
    <phoneticPr fontId="1" type="noConversion"/>
  </si>
  <si>
    <t>李辉军+波波</t>
    <phoneticPr fontId="1" type="noConversion"/>
  </si>
  <si>
    <t>李辉军+谢军</t>
    <phoneticPr fontId="1" type="noConversion"/>
  </si>
  <si>
    <t>波波+罗剑民</t>
    <phoneticPr fontId="1" type="noConversion"/>
  </si>
  <si>
    <t>李辉军+罗剑民</t>
    <phoneticPr fontId="1" type="noConversion"/>
  </si>
  <si>
    <t>梅小鱼+谢军</t>
    <phoneticPr fontId="1" type="noConversion"/>
  </si>
  <si>
    <t>小草+谢军</t>
    <phoneticPr fontId="1" type="noConversion"/>
  </si>
  <si>
    <t>梅小鱼+罗剑民</t>
    <phoneticPr fontId="1" type="noConversion"/>
  </si>
  <si>
    <t>小草+李辉军</t>
    <phoneticPr fontId="1" type="noConversion"/>
  </si>
  <si>
    <t>小草+尹衍锋</t>
    <phoneticPr fontId="1" type="noConversion"/>
  </si>
  <si>
    <t>小草+罗剑民</t>
    <phoneticPr fontId="1" type="noConversion"/>
  </si>
  <si>
    <t>司思+周霄</t>
    <phoneticPr fontId="1" type="noConversion"/>
  </si>
  <si>
    <t>梅小鱼+陈昱伟</t>
    <phoneticPr fontId="1" type="noConversion"/>
  </si>
  <si>
    <t>孙晓光+梅小鱼</t>
    <phoneticPr fontId="1" type="noConversion"/>
  </si>
  <si>
    <t>王欣+陈昱伟</t>
    <phoneticPr fontId="1" type="noConversion"/>
  </si>
  <si>
    <t>孙晓光+谢军</t>
    <phoneticPr fontId="1" type="noConversion"/>
  </si>
  <si>
    <t>孙晓光+钻石</t>
    <phoneticPr fontId="1" type="noConversion"/>
  </si>
  <si>
    <t>尹衍锋+陌陌</t>
    <phoneticPr fontId="1" type="noConversion"/>
  </si>
  <si>
    <t>孙晓光+王欣</t>
    <phoneticPr fontId="1" type="noConversion"/>
  </si>
  <si>
    <t>司思+谢军</t>
    <phoneticPr fontId="1" type="noConversion"/>
  </si>
  <si>
    <t>司思+陌陌</t>
    <phoneticPr fontId="1" type="noConversion"/>
  </si>
  <si>
    <t>梅小鱼+白黠</t>
    <phoneticPr fontId="1" type="noConversion"/>
  </si>
  <si>
    <t>梅小鱼+波波</t>
    <phoneticPr fontId="1" type="noConversion"/>
  </si>
  <si>
    <t>小草+陈昱伟</t>
    <phoneticPr fontId="1" type="noConversion"/>
  </si>
  <si>
    <t>负场统计</t>
    <phoneticPr fontId="1" type="noConversion"/>
  </si>
  <si>
    <t>总负分统计</t>
    <phoneticPr fontId="1" type="noConversion"/>
  </si>
  <si>
    <t>胜率统计</t>
    <phoneticPr fontId="1" type="noConversion"/>
  </si>
  <si>
    <t>场均净胜分统计</t>
    <phoneticPr fontId="1" type="noConversion"/>
  </si>
  <si>
    <t>谢军</t>
    <phoneticPr fontId="1" type="noConversion"/>
  </si>
  <si>
    <t>周霄</t>
    <phoneticPr fontId="1" type="noConversion"/>
  </si>
  <si>
    <t>白黠</t>
    <phoneticPr fontId="1" type="noConversion"/>
  </si>
  <si>
    <t>龙明宣</t>
    <phoneticPr fontId="1" type="noConversion"/>
  </si>
  <si>
    <t>孙晓光</t>
    <phoneticPr fontId="1" type="noConversion"/>
  </si>
  <si>
    <t>李辉军</t>
    <phoneticPr fontId="1" type="noConversion"/>
  </si>
  <si>
    <t>尹衍锋</t>
    <phoneticPr fontId="1" type="noConversion"/>
  </si>
  <si>
    <t>罗剑民</t>
    <phoneticPr fontId="1" type="noConversion"/>
  </si>
  <si>
    <t>王欣</t>
    <phoneticPr fontId="1" type="noConversion"/>
  </si>
  <si>
    <t>陌陌</t>
    <phoneticPr fontId="1" type="noConversion"/>
  </si>
  <si>
    <t>波波</t>
    <phoneticPr fontId="1" type="noConversion"/>
  </si>
  <si>
    <t>小草</t>
    <phoneticPr fontId="1" type="noConversion"/>
  </si>
  <si>
    <t>陈昱伟</t>
    <phoneticPr fontId="1" type="noConversion"/>
  </si>
  <si>
    <t>戴银华</t>
    <phoneticPr fontId="1" type="noConversion"/>
  </si>
  <si>
    <t>钻石</t>
    <phoneticPr fontId="1" type="noConversion"/>
  </si>
  <si>
    <t>梅小鱼</t>
    <phoneticPr fontId="1" type="noConversion"/>
  </si>
  <si>
    <t>司思</t>
    <phoneticPr fontId="1" type="noConversion"/>
  </si>
  <si>
    <t>梅挂</t>
    <phoneticPr fontId="1" type="noConversion"/>
  </si>
  <si>
    <t>尹衍锋+戴银华</t>
    <phoneticPr fontId="1" type="noConversion"/>
  </si>
  <si>
    <t>尹衍锋+梅挂</t>
    <phoneticPr fontId="1" type="noConversion"/>
  </si>
  <si>
    <t>孙晓光+李辉军</t>
    <phoneticPr fontId="1" type="noConversion"/>
  </si>
  <si>
    <t>总胜分统计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</si>
</sst>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4"/>
      <color rgb="FFFF0000"/>
      <name val="隶书"/>
      <family val="3"/>
      <charset val="134"/>
    </font>
    <font>
      <b/>
      <sz val="11"/>
      <color theme="1"/>
      <name val="华文楷体"/>
      <family val="3"/>
      <charset val="134"/>
    </font>
    <font>
      <b/>
      <sz val="14"/>
      <color rgb="FFFF0000"/>
      <name val="华文楷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2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6298485136545836"/>
          <c:y val="3.9269081510494505E-2"/>
        </c:manualLayout>
      </c:layout>
      <c:overlay val="0"/>
      <c:spPr>
        <a:solidFill>
          <a:schemeClr val="accent6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成员信息!$H$1</c:f>
              <c:strCache>
                <c:ptCount val="1"/>
                <c:pt idx="0">
                  <c:v>胜率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  <a:effectLst/>
          </c:spPr>
          <c:invertIfNegative val="0"/>
          <c:cat>
            <c:strRef>
              <c:f>成员信息!$E$2:$E$106</c:f>
              <c:strCache>
                <c:ptCount val="105"/>
                <c:pt idx="0">
                  <c:v>李辉军+陌陌</c:v>
                </c:pt>
                <c:pt idx="1">
                  <c:v>李辉军+钻石</c:v>
                </c:pt>
                <c:pt idx="2">
                  <c:v>尹衍锋+谢军</c:v>
                </c:pt>
                <c:pt idx="3">
                  <c:v>司思+李辉军</c:v>
                </c:pt>
                <c:pt idx="4">
                  <c:v>小草+谢军</c:v>
                </c:pt>
                <c:pt idx="5">
                  <c:v>司思+陈昱伟</c:v>
                </c:pt>
                <c:pt idx="6">
                  <c:v>孙晓光+尹衍锋</c:v>
                </c:pt>
                <c:pt idx="7">
                  <c:v>李辉军+罗剑民</c:v>
                </c:pt>
                <c:pt idx="8">
                  <c:v>周霄+钻石</c:v>
                </c:pt>
                <c:pt idx="9">
                  <c:v>周霄+陌陌</c:v>
                </c:pt>
                <c:pt idx="10">
                  <c:v>罗剑民+陌陌</c:v>
                </c:pt>
                <c:pt idx="11">
                  <c:v>李辉军+陈昱伟</c:v>
                </c:pt>
                <c:pt idx="12">
                  <c:v>孙晓光+钻石</c:v>
                </c:pt>
                <c:pt idx="13">
                  <c:v>王欣+钻石</c:v>
                </c:pt>
                <c:pt idx="14">
                  <c:v>尹衍锋+梅挂</c:v>
                </c:pt>
                <c:pt idx="15">
                  <c:v>孙晓光+李辉军</c:v>
                </c:pt>
                <c:pt idx="16">
                  <c:v>尹衍锋+陈昱伟</c:v>
                </c:pt>
                <c:pt idx="17">
                  <c:v>王欣+陈昱伟</c:v>
                </c:pt>
                <c:pt idx="18">
                  <c:v>小草+钻石</c:v>
                </c:pt>
                <c:pt idx="19">
                  <c:v>陈昱伟+陌陌</c:v>
                </c:pt>
                <c:pt idx="20">
                  <c:v>孙晓光+王欣</c:v>
                </c:pt>
                <c:pt idx="21">
                  <c:v>孙晓光+白黠</c:v>
                </c:pt>
                <c:pt idx="22">
                  <c:v>小草+陈昱伟</c:v>
                </c:pt>
                <c:pt idx="23">
                  <c:v>尹衍锋+李辉军</c:v>
                </c:pt>
                <c:pt idx="24">
                  <c:v>周霄+梅小鱼</c:v>
                </c:pt>
                <c:pt idx="25">
                  <c:v>周霄+李辉军</c:v>
                </c:pt>
                <c:pt idx="26">
                  <c:v>小草+陌陌</c:v>
                </c:pt>
                <c:pt idx="27">
                  <c:v>罗剑民+陈昱伟</c:v>
                </c:pt>
                <c:pt idx="28">
                  <c:v>小草+尹衍锋</c:v>
                </c:pt>
                <c:pt idx="29">
                  <c:v>小草+李辉军</c:v>
                </c:pt>
                <c:pt idx="30">
                  <c:v>尹衍锋+罗剑民</c:v>
                </c:pt>
                <c:pt idx="31">
                  <c:v>周霄+谢军</c:v>
                </c:pt>
                <c:pt idx="32">
                  <c:v>李辉军+梅小鱼</c:v>
                </c:pt>
                <c:pt idx="33">
                  <c:v>梅小鱼+陈昱伟</c:v>
                </c:pt>
                <c:pt idx="34">
                  <c:v>尹衍锋+钻石</c:v>
                </c:pt>
                <c:pt idx="35">
                  <c:v>梅小鱼+谢军</c:v>
                </c:pt>
                <c:pt idx="36">
                  <c:v>钻石+陈昱伟</c:v>
                </c:pt>
                <c:pt idx="37">
                  <c:v>司思+周霄</c:v>
                </c:pt>
                <c:pt idx="38">
                  <c:v>罗剑民+谢军</c:v>
                </c:pt>
                <c:pt idx="39">
                  <c:v>尹衍锋+陌陌</c:v>
                </c:pt>
                <c:pt idx="40">
                  <c:v>周霄+龙明宣</c:v>
                </c:pt>
                <c:pt idx="41">
                  <c:v>李辉军+白黠</c:v>
                </c:pt>
                <c:pt idx="42">
                  <c:v>周霄+罗剑民</c:v>
                </c:pt>
                <c:pt idx="43">
                  <c:v>罗剑民+龙明宣</c:v>
                </c:pt>
                <c:pt idx="44">
                  <c:v>周霄+波波</c:v>
                </c:pt>
                <c:pt idx="45">
                  <c:v>孙晓光+罗剑民</c:v>
                </c:pt>
                <c:pt idx="46">
                  <c:v>小草+罗剑民</c:v>
                </c:pt>
                <c:pt idx="47">
                  <c:v>周霄+孙晓光</c:v>
                </c:pt>
                <c:pt idx="48">
                  <c:v>尹衍锋+白黠</c:v>
                </c:pt>
                <c:pt idx="49">
                  <c:v>周霄+尹衍锋</c:v>
                </c:pt>
                <c:pt idx="50">
                  <c:v>李辉军+波波</c:v>
                </c:pt>
                <c:pt idx="51">
                  <c:v>孙晓光+谢军</c:v>
                </c:pt>
                <c:pt idx="52">
                  <c:v>波波+罗剑民</c:v>
                </c:pt>
                <c:pt idx="53">
                  <c:v>谢军+钻石</c:v>
                </c:pt>
                <c:pt idx="54">
                  <c:v>李辉军+龙明宣</c:v>
                </c:pt>
                <c:pt idx="55">
                  <c:v>谢军+龙明宣</c:v>
                </c:pt>
                <c:pt idx="56">
                  <c:v>谢军+陌陌</c:v>
                </c:pt>
                <c:pt idx="57">
                  <c:v>陈昱伟+龙明宣</c:v>
                </c:pt>
                <c:pt idx="58">
                  <c:v>梅小鱼+罗剑民</c:v>
                </c:pt>
                <c:pt idx="59">
                  <c:v>尹衍锋+梅小鱼</c:v>
                </c:pt>
                <c:pt idx="60">
                  <c:v>司思+尹衍锋</c:v>
                </c:pt>
                <c:pt idx="61">
                  <c:v>司思+龙明宣</c:v>
                </c:pt>
                <c:pt idx="62">
                  <c:v>陌陌+龙明宣</c:v>
                </c:pt>
                <c:pt idx="63">
                  <c:v>周霄+王欣</c:v>
                </c:pt>
                <c:pt idx="64">
                  <c:v>戴银华+谢军</c:v>
                </c:pt>
                <c:pt idx="65">
                  <c:v>孙晓光+梅小鱼</c:v>
                </c:pt>
                <c:pt idx="66">
                  <c:v>小草+白黠</c:v>
                </c:pt>
                <c:pt idx="67">
                  <c:v>孙晓光+小草</c:v>
                </c:pt>
                <c:pt idx="68">
                  <c:v>王欣+罗剑民</c:v>
                </c:pt>
                <c:pt idx="69">
                  <c:v>罗剑民+钻石</c:v>
                </c:pt>
                <c:pt idx="70">
                  <c:v>孙晓光+波波</c:v>
                </c:pt>
                <c:pt idx="71">
                  <c:v>波波+陌陌</c:v>
                </c:pt>
                <c:pt idx="72">
                  <c:v>王欣+龙明宣</c:v>
                </c:pt>
                <c:pt idx="73">
                  <c:v>尹衍锋+戴银华</c:v>
                </c:pt>
                <c:pt idx="74">
                  <c:v>周霄+戴银华</c:v>
                </c:pt>
                <c:pt idx="75">
                  <c:v>戴银华+王欣</c:v>
                </c:pt>
                <c:pt idx="76">
                  <c:v>尹衍锋+王欣</c:v>
                </c:pt>
                <c:pt idx="77">
                  <c:v>戴银华+钻石</c:v>
                </c:pt>
                <c:pt idx="78">
                  <c:v>戴银华+龙明宣</c:v>
                </c:pt>
                <c:pt idx="79">
                  <c:v>白黠+谢军</c:v>
                </c:pt>
                <c:pt idx="80">
                  <c:v>白黠+罗剑民</c:v>
                </c:pt>
                <c:pt idx="81">
                  <c:v>周霄+白黠</c:v>
                </c:pt>
                <c:pt idx="82">
                  <c:v>波波+谢军</c:v>
                </c:pt>
                <c:pt idx="83">
                  <c:v>波波+白黠</c:v>
                </c:pt>
                <c:pt idx="84">
                  <c:v>李辉军+谢军</c:v>
                </c:pt>
                <c:pt idx="85">
                  <c:v>尹衍锋+龙明宣</c:v>
                </c:pt>
                <c:pt idx="86">
                  <c:v>白黠+龙明宣</c:v>
                </c:pt>
                <c:pt idx="87">
                  <c:v>尹衍锋+尹衍锋</c:v>
                </c:pt>
                <c:pt idx="88">
                  <c:v>钻石+陌陌</c:v>
                </c:pt>
                <c:pt idx="89">
                  <c:v>周霄+小草</c:v>
                </c:pt>
                <c:pt idx="90">
                  <c:v>梅小鱼+梅挂</c:v>
                </c:pt>
                <c:pt idx="91">
                  <c:v>梅挂+白黠</c:v>
                </c:pt>
                <c:pt idx="92">
                  <c:v>梅挂+钻石</c:v>
                </c:pt>
                <c:pt idx="93">
                  <c:v>梅挂+罗剑民</c:v>
                </c:pt>
                <c:pt idx="94">
                  <c:v>白黠+陌陌</c:v>
                </c:pt>
                <c:pt idx="95">
                  <c:v>波波+龙明宣</c:v>
                </c:pt>
                <c:pt idx="96">
                  <c:v>司思+白黠</c:v>
                </c:pt>
                <c:pt idx="97">
                  <c:v>司思+谢军</c:v>
                </c:pt>
                <c:pt idx="98">
                  <c:v>司思+陌陌</c:v>
                </c:pt>
                <c:pt idx="99">
                  <c:v>梅小鱼+白黠</c:v>
                </c:pt>
                <c:pt idx="100">
                  <c:v>孙晓光+龙明宣</c:v>
                </c:pt>
                <c:pt idx="101">
                  <c:v>小草+梅小鱼</c:v>
                </c:pt>
                <c:pt idx="102">
                  <c:v>梅小鱼+波波</c:v>
                </c:pt>
                <c:pt idx="103">
                  <c:v>尹衍锋+波波</c:v>
                </c:pt>
                <c:pt idx="104">
                  <c:v>周霄+陈昱伟</c:v>
                </c:pt>
              </c:strCache>
            </c:strRef>
          </c:cat>
          <c:val>
            <c:numRef>
              <c:f>成员信息!$H$2:$H$106</c:f>
              <c:numCache>
                <c:formatCode>0.00%</c:formatCode>
                <c:ptCount val="10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0.88888888888888884</c:v>
                </c:pt>
                <c:pt idx="24">
                  <c:v>0.8571428571428571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0.72413793103448276</c:v>
                </c:pt>
                <c:pt idx="30">
                  <c:v>0.66666666666666663</c:v>
                </c:pt>
                <c:pt idx="31">
                  <c:v>0.66666666666666663</c:v>
                </c:pt>
                <c:pt idx="32">
                  <c:v>0.66666666666666663</c:v>
                </c:pt>
                <c:pt idx="33">
                  <c:v>0.66666666666666663</c:v>
                </c:pt>
                <c:pt idx="34">
                  <c:v>0.66666666666666663</c:v>
                </c:pt>
                <c:pt idx="35">
                  <c:v>0.63636363636363635</c:v>
                </c:pt>
                <c:pt idx="36">
                  <c:v>0.625</c:v>
                </c:pt>
                <c:pt idx="37">
                  <c:v>0.625</c:v>
                </c:pt>
                <c:pt idx="38">
                  <c:v>0.625</c:v>
                </c:pt>
                <c:pt idx="39">
                  <c:v>0.625</c:v>
                </c:pt>
                <c:pt idx="40">
                  <c:v>0.6</c:v>
                </c:pt>
                <c:pt idx="41">
                  <c:v>0.55555555555555558</c:v>
                </c:pt>
                <c:pt idx="42">
                  <c:v>0.53846153846153844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0.41666666666666669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0.33333333333333331</c:v>
                </c:pt>
                <c:pt idx="59">
                  <c:v>0.33333333333333331</c:v>
                </c:pt>
                <c:pt idx="60">
                  <c:v>0.33333333333333331</c:v>
                </c:pt>
                <c:pt idx="61">
                  <c:v>0.33333333333333331</c:v>
                </c:pt>
                <c:pt idx="62">
                  <c:v>0.33333333333333331</c:v>
                </c:pt>
                <c:pt idx="63">
                  <c:v>0.33333333333333331</c:v>
                </c:pt>
                <c:pt idx="64">
                  <c:v>0.33333333333333331</c:v>
                </c:pt>
                <c:pt idx="65">
                  <c:v>0.33333333333333331</c:v>
                </c:pt>
                <c:pt idx="66">
                  <c:v>0.33333333333333331</c:v>
                </c:pt>
                <c:pt idx="67">
                  <c:v>0.2857142857142857</c:v>
                </c:pt>
                <c:pt idx="68">
                  <c:v>0.25</c:v>
                </c:pt>
                <c:pt idx="69">
                  <c:v>0.25</c:v>
                </c:pt>
                <c:pt idx="70">
                  <c:v>0.22222222222222221</c:v>
                </c:pt>
                <c:pt idx="71">
                  <c:v>0.2</c:v>
                </c:pt>
                <c:pt idx="72">
                  <c:v>0.14285714285714285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213959296"/>
        <c:axId val="213608704"/>
      </c:barChart>
      <c:catAx>
        <c:axId val="21395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3608704"/>
        <c:crosses val="autoZero"/>
        <c:auto val="1"/>
        <c:lblAlgn val="ctr"/>
        <c:lblOffset val="100"/>
        <c:noMultiLvlLbl val="0"/>
      </c:catAx>
      <c:valAx>
        <c:axId val="21360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395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zh-CN">
                <a:solidFill>
                  <a:schemeClr val="lt1"/>
                </a:solidFill>
                <a:latin typeface="+mn-lt"/>
                <a:ea typeface="+mn-ea"/>
                <a:cs typeface="+mn-cs"/>
              </a:rPr>
              <a:t>配合场次</a:t>
            </a:r>
            <a:endParaRPr lang="zh-CN"/>
          </a:p>
        </c:rich>
      </c:tx>
      <c:layout>
        <c:manualLayout>
          <c:xMode val="edge"/>
          <c:yMode val="edge"/>
          <c:x val="0.44184578324856433"/>
          <c:y val="3.6773132048508482E-2"/>
        </c:manualLayout>
      </c:layout>
      <c:overlay val="0"/>
      <c:spPr>
        <a:gradFill rotWithShape="1">
          <a:gsLst>
            <a:gs pos="0">
              <a:schemeClr val="accent6">
                <a:satMod val="103000"/>
                <a:lumMod val="102000"/>
                <a:tint val="94000"/>
              </a:schemeClr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成员信息!$K$1</c:f>
              <c:strCache>
                <c:ptCount val="1"/>
                <c:pt idx="0">
                  <c:v>总场次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成员信息!$E$2:$E$106</c:f>
              <c:strCache>
                <c:ptCount val="105"/>
                <c:pt idx="0">
                  <c:v>李辉军+陌陌</c:v>
                </c:pt>
                <c:pt idx="1">
                  <c:v>李辉军+钻石</c:v>
                </c:pt>
                <c:pt idx="2">
                  <c:v>尹衍锋+谢军</c:v>
                </c:pt>
                <c:pt idx="3">
                  <c:v>司思+李辉军</c:v>
                </c:pt>
                <c:pt idx="4">
                  <c:v>小草+谢军</c:v>
                </c:pt>
                <c:pt idx="5">
                  <c:v>司思+陈昱伟</c:v>
                </c:pt>
                <c:pt idx="6">
                  <c:v>孙晓光+尹衍锋</c:v>
                </c:pt>
                <c:pt idx="7">
                  <c:v>李辉军+罗剑民</c:v>
                </c:pt>
                <c:pt idx="8">
                  <c:v>周霄+钻石</c:v>
                </c:pt>
                <c:pt idx="9">
                  <c:v>周霄+陌陌</c:v>
                </c:pt>
                <c:pt idx="10">
                  <c:v>罗剑民+陌陌</c:v>
                </c:pt>
                <c:pt idx="11">
                  <c:v>李辉军+陈昱伟</c:v>
                </c:pt>
                <c:pt idx="12">
                  <c:v>孙晓光+钻石</c:v>
                </c:pt>
                <c:pt idx="13">
                  <c:v>王欣+钻石</c:v>
                </c:pt>
                <c:pt idx="14">
                  <c:v>尹衍锋+梅挂</c:v>
                </c:pt>
                <c:pt idx="15">
                  <c:v>孙晓光+李辉军</c:v>
                </c:pt>
                <c:pt idx="16">
                  <c:v>尹衍锋+陈昱伟</c:v>
                </c:pt>
                <c:pt idx="17">
                  <c:v>王欣+陈昱伟</c:v>
                </c:pt>
                <c:pt idx="18">
                  <c:v>小草+钻石</c:v>
                </c:pt>
                <c:pt idx="19">
                  <c:v>陈昱伟+陌陌</c:v>
                </c:pt>
                <c:pt idx="20">
                  <c:v>孙晓光+王欣</c:v>
                </c:pt>
                <c:pt idx="21">
                  <c:v>孙晓光+白黠</c:v>
                </c:pt>
                <c:pt idx="22">
                  <c:v>小草+陈昱伟</c:v>
                </c:pt>
                <c:pt idx="23">
                  <c:v>尹衍锋+李辉军</c:v>
                </c:pt>
                <c:pt idx="24">
                  <c:v>周霄+梅小鱼</c:v>
                </c:pt>
                <c:pt idx="25">
                  <c:v>周霄+李辉军</c:v>
                </c:pt>
                <c:pt idx="26">
                  <c:v>小草+陌陌</c:v>
                </c:pt>
                <c:pt idx="27">
                  <c:v>罗剑民+陈昱伟</c:v>
                </c:pt>
                <c:pt idx="28">
                  <c:v>小草+尹衍锋</c:v>
                </c:pt>
                <c:pt idx="29">
                  <c:v>小草+李辉军</c:v>
                </c:pt>
                <c:pt idx="30">
                  <c:v>尹衍锋+罗剑民</c:v>
                </c:pt>
                <c:pt idx="31">
                  <c:v>周霄+谢军</c:v>
                </c:pt>
                <c:pt idx="32">
                  <c:v>李辉军+梅小鱼</c:v>
                </c:pt>
                <c:pt idx="33">
                  <c:v>梅小鱼+陈昱伟</c:v>
                </c:pt>
                <c:pt idx="34">
                  <c:v>尹衍锋+钻石</c:v>
                </c:pt>
                <c:pt idx="35">
                  <c:v>梅小鱼+谢军</c:v>
                </c:pt>
                <c:pt idx="36">
                  <c:v>钻石+陈昱伟</c:v>
                </c:pt>
                <c:pt idx="37">
                  <c:v>司思+周霄</c:v>
                </c:pt>
                <c:pt idx="38">
                  <c:v>罗剑民+谢军</c:v>
                </c:pt>
                <c:pt idx="39">
                  <c:v>尹衍锋+陌陌</c:v>
                </c:pt>
                <c:pt idx="40">
                  <c:v>周霄+龙明宣</c:v>
                </c:pt>
                <c:pt idx="41">
                  <c:v>李辉军+白黠</c:v>
                </c:pt>
                <c:pt idx="42">
                  <c:v>周霄+罗剑民</c:v>
                </c:pt>
                <c:pt idx="43">
                  <c:v>罗剑民+龙明宣</c:v>
                </c:pt>
                <c:pt idx="44">
                  <c:v>周霄+波波</c:v>
                </c:pt>
                <c:pt idx="45">
                  <c:v>孙晓光+罗剑民</c:v>
                </c:pt>
                <c:pt idx="46">
                  <c:v>小草+罗剑民</c:v>
                </c:pt>
                <c:pt idx="47">
                  <c:v>周霄+孙晓光</c:v>
                </c:pt>
                <c:pt idx="48">
                  <c:v>尹衍锋+白黠</c:v>
                </c:pt>
                <c:pt idx="49">
                  <c:v>周霄+尹衍锋</c:v>
                </c:pt>
                <c:pt idx="50">
                  <c:v>李辉军+波波</c:v>
                </c:pt>
                <c:pt idx="51">
                  <c:v>孙晓光+谢军</c:v>
                </c:pt>
                <c:pt idx="52">
                  <c:v>波波+罗剑民</c:v>
                </c:pt>
                <c:pt idx="53">
                  <c:v>谢军+钻石</c:v>
                </c:pt>
                <c:pt idx="54">
                  <c:v>李辉军+龙明宣</c:v>
                </c:pt>
                <c:pt idx="55">
                  <c:v>谢军+龙明宣</c:v>
                </c:pt>
                <c:pt idx="56">
                  <c:v>谢军+陌陌</c:v>
                </c:pt>
                <c:pt idx="57">
                  <c:v>陈昱伟+龙明宣</c:v>
                </c:pt>
                <c:pt idx="58">
                  <c:v>梅小鱼+罗剑民</c:v>
                </c:pt>
                <c:pt idx="59">
                  <c:v>尹衍锋+梅小鱼</c:v>
                </c:pt>
                <c:pt idx="60">
                  <c:v>司思+尹衍锋</c:v>
                </c:pt>
                <c:pt idx="61">
                  <c:v>司思+龙明宣</c:v>
                </c:pt>
                <c:pt idx="62">
                  <c:v>陌陌+龙明宣</c:v>
                </c:pt>
                <c:pt idx="63">
                  <c:v>周霄+王欣</c:v>
                </c:pt>
                <c:pt idx="64">
                  <c:v>戴银华+谢军</c:v>
                </c:pt>
                <c:pt idx="65">
                  <c:v>孙晓光+梅小鱼</c:v>
                </c:pt>
                <c:pt idx="66">
                  <c:v>小草+白黠</c:v>
                </c:pt>
                <c:pt idx="67">
                  <c:v>孙晓光+小草</c:v>
                </c:pt>
                <c:pt idx="68">
                  <c:v>王欣+罗剑民</c:v>
                </c:pt>
                <c:pt idx="69">
                  <c:v>罗剑民+钻石</c:v>
                </c:pt>
                <c:pt idx="70">
                  <c:v>孙晓光+波波</c:v>
                </c:pt>
                <c:pt idx="71">
                  <c:v>波波+陌陌</c:v>
                </c:pt>
                <c:pt idx="72">
                  <c:v>王欣+龙明宣</c:v>
                </c:pt>
                <c:pt idx="73">
                  <c:v>尹衍锋+戴银华</c:v>
                </c:pt>
                <c:pt idx="74">
                  <c:v>周霄+戴银华</c:v>
                </c:pt>
                <c:pt idx="75">
                  <c:v>戴银华+王欣</c:v>
                </c:pt>
                <c:pt idx="76">
                  <c:v>尹衍锋+王欣</c:v>
                </c:pt>
                <c:pt idx="77">
                  <c:v>戴银华+钻石</c:v>
                </c:pt>
                <c:pt idx="78">
                  <c:v>戴银华+龙明宣</c:v>
                </c:pt>
                <c:pt idx="79">
                  <c:v>白黠+谢军</c:v>
                </c:pt>
                <c:pt idx="80">
                  <c:v>白黠+罗剑民</c:v>
                </c:pt>
                <c:pt idx="81">
                  <c:v>周霄+白黠</c:v>
                </c:pt>
                <c:pt idx="82">
                  <c:v>波波+谢军</c:v>
                </c:pt>
                <c:pt idx="83">
                  <c:v>波波+白黠</c:v>
                </c:pt>
                <c:pt idx="84">
                  <c:v>李辉军+谢军</c:v>
                </c:pt>
                <c:pt idx="85">
                  <c:v>尹衍锋+龙明宣</c:v>
                </c:pt>
                <c:pt idx="86">
                  <c:v>白黠+龙明宣</c:v>
                </c:pt>
                <c:pt idx="87">
                  <c:v>尹衍锋+尹衍锋</c:v>
                </c:pt>
                <c:pt idx="88">
                  <c:v>钻石+陌陌</c:v>
                </c:pt>
                <c:pt idx="89">
                  <c:v>周霄+小草</c:v>
                </c:pt>
                <c:pt idx="90">
                  <c:v>梅小鱼+梅挂</c:v>
                </c:pt>
                <c:pt idx="91">
                  <c:v>梅挂+白黠</c:v>
                </c:pt>
                <c:pt idx="92">
                  <c:v>梅挂+钻石</c:v>
                </c:pt>
                <c:pt idx="93">
                  <c:v>梅挂+罗剑民</c:v>
                </c:pt>
                <c:pt idx="94">
                  <c:v>白黠+陌陌</c:v>
                </c:pt>
                <c:pt idx="95">
                  <c:v>波波+龙明宣</c:v>
                </c:pt>
                <c:pt idx="96">
                  <c:v>司思+白黠</c:v>
                </c:pt>
                <c:pt idx="97">
                  <c:v>司思+谢军</c:v>
                </c:pt>
                <c:pt idx="98">
                  <c:v>司思+陌陌</c:v>
                </c:pt>
                <c:pt idx="99">
                  <c:v>梅小鱼+白黠</c:v>
                </c:pt>
                <c:pt idx="100">
                  <c:v>孙晓光+龙明宣</c:v>
                </c:pt>
                <c:pt idx="101">
                  <c:v>小草+梅小鱼</c:v>
                </c:pt>
                <c:pt idx="102">
                  <c:v>梅小鱼+波波</c:v>
                </c:pt>
                <c:pt idx="103">
                  <c:v>尹衍锋+波波</c:v>
                </c:pt>
                <c:pt idx="104">
                  <c:v>周霄+陈昱伟</c:v>
                </c:pt>
              </c:strCache>
            </c:strRef>
          </c:cat>
          <c:val>
            <c:numRef>
              <c:f>成员信息!$K$2:$K$106</c:f>
              <c:numCache>
                <c:formatCode>General</c:formatCode>
                <c:ptCount val="105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9</c:v>
                </c:pt>
                <c:pt idx="24">
                  <c:v>7</c:v>
                </c:pt>
                <c:pt idx="25">
                  <c:v>8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29</c:v>
                </c:pt>
                <c:pt idx="30">
                  <c:v>9</c:v>
                </c:pt>
                <c:pt idx="31">
                  <c:v>6</c:v>
                </c:pt>
                <c:pt idx="32">
                  <c:v>6</c:v>
                </c:pt>
                <c:pt idx="33">
                  <c:v>3</c:v>
                </c:pt>
                <c:pt idx="34">
                  <c:v>3</c:v>
                </c:pt>
                <c:pt idx="35">
                  <c:v>11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5</c:v>
                </c:pt>
                <c:pt idx="41">
                  <c:v>9</c:v>
                </c:pt>
                <c:pt idx="42">
                  <c:v>13</c:v>
                </c:pt>
                <c:pt idx="43">
                  <c:v>12</c:v>
                </c:pt>
                <c:pt idx="44">
                  <c:v>10</c:v>
                </c:pt>
                <c:pt idx="45">
                  <c:v>6</c:v>
                </c:pt>
                <c:pt idx="46">
                  <c:v>6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12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7</c:v>
                </c:pt>
                <c:pt idx="68">
                  <c:v>4</c:v>
                </c:pt>
                <c:pt idx="69">
                  <c:v>4</c:v>
                </c:pt>
                <c:pt idx="70">
                  <c:v>9</c:v>
                </c:pt>
                <c:pt idx="71">
                  <c:v>5</c:v>
                </c:pt>
                <c:pt idx="72">
                  <c:v>7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3</c:v>
                </c:pt>
                <c:pt idx="80">
                  <c:v>5</c:v>
                </c:pt>
                <c:pt idx="81">
                  <c:v>8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4</c:v>
                </c:pt>
                <c:pt idx="86">
                  <c:v>2</c:v>
                </c:pt>
                <c:pt idx="87">
                  <c:v>1</c:v>
                </c:pt>
                <c:pt idx="88">
                  <c:v>2</c:v>
                </c:pt>
                <c:pt idx="89">
                  <c:v>6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2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3</c:v>
                </c:pt>
                <c:pt idx="99">
                  <c:v>1</c:v>
                </c:pt>
                <c:pt idx="100">
                  <c:v>3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4348880"/>
        <c:axId val="191106872"/>
      </c:barChart>
      <c:catAx>
        <c:axId val="2143488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106872"/>
        <c:crosses val="autoZero"/>
        <c:auto val="1"/>
        <c:lblAlgn val="ctr"/>
        <c:lblOffset val="100"/>
        <c:noMultiLvlLbl val="0"/>
      </c:catAx>
      <c:valAx>
        <c:axId val="191106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434888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19649267602543"/>
          <c:y val="2.6364884465062726E-2"/>
        </c:manualLayout>
      </c:layout>
      <c:overlay val="0"/>
      <c:spPr>
        <a:solidFill>
          <a:schemeClr val="accent6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6238908015924686E-2"/>
          <c:y val="0.14149154662916993"/>
          <c:w val="0.90957099987138257"/>
          <c:h val="0.778542582402373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成员信息!$AB$1</c:f>
              <c:strCache>
                <c:ptCount val="1"/>
                <c:pt idx="0">
                  <c:v>胜率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成员信息!$Y$2:$Y$26</c:f>
              <c:strCache>
                <c:ptCount val="5"/>
                <c:pt idx="0">
                  <c:v>YW</c:v>
                </c:pt>
                <c:pt idx="1">
                  <c:v>HJ</c:v>
                </c:pt>
                <c:pt idx="2">
                  <c:v>XJ</c:v>
                </c:pt>
                <c:pt idx="3">
                  <c:v>YF</c:v>
                </c:pt>
                <c:pt idx="4">
                  <c:v>MM</c:v>
                </c:pt>
              </c:strCache>
            </c:strRef>
          </c:cat>
          <c:val>
            <c:numRef>
              <c:f>成员信息!$AB$2:$AB$26</c:f>
              <c:numCache>
                <c:formatCode>0.00%</c:formatCode>
                <c:ptCount val="25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1741736"/>
        <c:axId val="192809072"/>
      </c:barChart>
      <c:catAx>
        <c:axId val="211741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2809072"/>
        <c:crosses val="autoZero"/>
        <c:auto val="1"/>
        <c:lblAlgn val="ctr"/>
        <c:lblOffset val="100"/>
        <c:noMultiLvlLbl val="0"/>
      </c:catAx>
      <c:valAx>
        <c:axId val="19280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74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33333333333335"/>
          <c:y val="5.0925925925925923E-2"/>
        </c:manualLayout>
      </c:layout>
      <c:overlay val="0"/>
      <c:spPr>
        <a:solidFill>
          <a:schemeClr val="accent6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成员信息!$AE$1</c:f>
              <c:strCache>
                <c:ptCount val="1"/>
                <c:pt idx="0">
                  <c:v>总场次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成员信息!$Y$2:$Y$21</c:f>
              <c:strCache>
                <c:ptCount val="5"/>
                <c:pt idx="0">
                  <c:v>YW</c:v>
                </c:pt>
                <c:pt idx="1">
                  <c:v>HJ</c:v>
                </c:pt>
                <c:pt idx="2">
                  <c:v>XJ</c:v>
                </c:pt>
                <c:pt idx="3">
                  <c:v>YF</c:v>
                </c:pt>
                <c:pt idx="4">
                  <c:v>MM</c:v>
                </c:pt>
              </c:strCache>
            </c:strRef>
          </c:cat>
          <c:val>
            <c:numRef>
              <c:f>成员信息!$AE$2:$AE$21</c:f>
              <c:numCache>
                <c:formatCode>General</c:formatCode>
                <c:ptCount val="20"/>
                <c:pt idx="0">
                  <c:v>-16</c:v>
                </c:pt>
                <c:pt idx="1">
                  <c:v>-3</c:v>
                </c:pt>
                <c:pt idx="2">
                  <c:v>-11</c:v>
                </c:pt>
                <c:pt idx="3">
                  <c:v>-3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99942808"/>
        <c:axId val="214427272"/>
      </c:barChart>
      <c:catAx>
        <c:axId val="3999428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4427272"/>
        <c:crosses val="autoZero"/>
        <c:auto val="1"/>
        <c:lblAlgn val="ctr"/>
        <c:lblOffset val="100"/>
        <c:noMultiLvlLbl val="0"/>
      </c:catAx>
      <c:valAx>
        <c:axId val="214427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994280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胜场统计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详细分析!$A$2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详细分析!$B$2:$S$2</c:f>
              <c:numCache>
                <c:formatCode>General</c:formatCode>
                <c:ptCount val="18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4</c:v>
                </c:pt>
                <c:pt idx="7">
                  <c:v>5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详细分析!$A$3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详细分析!$B$3:$S$3</c:f>
              <c:numCache>
                <c:formatCode>General</c:formatCode>
                <c:ptCount val="18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6</c:v>
                </c:pt>
                <c:pt idx="6">
                  <c:v>1</c:v>
                </c:pt>
                <c:pt idx="7">
                  <c:v>7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6</c:v>
                </c:pt>
                <c:pt idx="16">
                  <c:v>5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详细分析!$A$4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详细分析!$B$4:$S$4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详细分析!$A$5</c:f>
              <c:strCache>
                <c:ptCount val="1"/>
                <c:pt idx="0">
                  <c:v>龙明宣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详细分析!$B$5:$S$5</c:f>
              <c:numCache>
                <c:formatCode>General</c:formatCode>
                <c:ptCount val="18"/>
                <c:pt idx="0">
                  <c:v>2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6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详细分析!$A$6</c:f>
              <c:strCache>
                <c:ptCount val="1"/>
                <c:pt idx="0">
                  <c:v>孙晓光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详细分析!$B$6:$S$6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详细分析!$A$7</c:f>
              <c:strCache>
                <c:ptCount val="1"/>
                <c:pt idx="0">
                  <c:v>李辉军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详细分析!$B$7:$S$7</c:f>
              <c:numCache>
                <c:formatCode>General</c:formatCode>
                <c:ptCount val="18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8</c:v>
                </c:pt>
                <c:pt idx="7">
                  <c:v>2</c:v>
                </c:pt>
                <c:pt idx="8">
                  <c:v>0</c:v>
                </c:pt>
                <c:pt idx="9">
                  <c:v>6</c:v>
                </c:pt>
                <c:pt idx="10">
                  <c:v>1</c:v>
                </c:pt>
                <c:pt idx="11">
                  <c:v>21</c:v>
                </c:pt>
                <c:pt idx="12">
                  <c:v>2</c:v>
                </c:pt>
                <c:pt idx="13">
                  <c:v>0</c:v>
                </c:pt>
                <c:pt idx="14">
                  <c:v>5</c:v>
                </c:pt>
                <c:pt idx="15">
                  <c:v>4</c:v>
                </c:pt>
                <c:pt idx="16">
                  <c:v>4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详细分析!$A$8</c:f>
              <c:strCache>
                <c:ptCount val="1"/>
                <c:pt idx="0">
                  <c:v>尹衍锋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详细分析!$B$8:$S$8</c:f>
              <c:numCache>
                <c:formatCode>General</c:formatCode>
                <c:ptCount val="18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8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详细分析!$A$9</c:f>
              <c:strCache>
                <c:ptCount val="1"/>
                <c:pt idx="0">
                  <c:v>罗剑民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详细分析!$B$9:$S$9</c:f>
              <c:numCache>
                <c:formatCode>General</c:formatCode>
                <c:ptCount val="18"/>
                <c:pt idx="0">
                  <c:v>5</c:v>
                </c:pt>
                <c:pt idx="1">
                  <c:v>7</c:v>
                </c:pt>
                <c:pt idx="2">
                  <c:v>0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6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详细分析!$A$10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详细分析!$B$10:$S$10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详细分析!$A$11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详细分析!$B$11:$S$11</c:f>
              <c:numCache>
                <c:formatCode>General</c:formatCode>
                <c:ptCount val="1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6</c:v>
                </c:pt>
                <c:pt idx="6">
                  <c:v>5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详细分析!$A$12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详细分析!$B$12:$S$12</c:f>
              <c:numCache>
                <c:formatCode>General</c:formatCode>
                <c:ptCount val="18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详细分析!$A$13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详细分析!$B$13:$S$13</c:f>
              <c:numCache>
                <c:formatCode>General</c:formatCode>
                <c:ptCount val="18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21</c:v>
                </c:pt>
                <c:pt idx="6">
                  <c:v>3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详细分析!$A$14</c:f>
              <c:strCache>
                <c:ptCount val="1"/>
                <c:pt idx="0">
                  <c:v>陈昱伟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详细分析!$B$14:$S$14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详细分析!$A$15</c:f>
              <c:strCache>
                <c:ptCount val="1"/>
                <c:pt idx="0">
                  <c:v>戴银华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详细分析!$B$15:$S$15</c:f>
              <c:numCache>
                <c:formatCode>General</c:formatCode>
                <c:ptCount val="1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详细分析!$A$16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详细分析!$B$16:$S$16</c:f>
              <c:numCache>
                <c:formatCode>General</c:formatCode>
                <c:ptCount val="1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5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详细分析!$A$17</c:f>
              <c:strCache>
                <c:ptCount val="1"/>
                <c:pt idx="0">
                  <c:v>梅小鱼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详细分析!$B$17:$S$17</c:f>
              <c:numCache>
                <c:formatCode>General</c:formatCode>
                <c:ptCount val="18"/>
                <c:pt idx="0">
                  <c:v>7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详细分析!$A$18</c:f>
              <c:strCache>
                <c:ptCount val="1"/>
                <c:pt idx="0">
                  <c:v>司思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详细分析!$B$18:$S$18</c:f>
              <c:numCache>
                <c:formatCode>General</c:formatCode>
                <c:ptCount val="18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详细分析!$A$19</c:f>
              <c:strCache>
                <c:ptCount val="1"/>
                <c:pt idx="0">
                  <c:v>梅挂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详细分析!$B$19:$S$19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99681728"/>
        <c:axId val="399913352"/>
      </c:lineChart>
      <c:catAx>
        <c:axId val="39968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9913352"/>
        <c:crosses val="autoZero"/>
        <c:auto val="1"/>
        <c:lblAlgn val="ctr"/>
        <c:lblOffset val="100"/>
        <c:noMultiLvlLbl val="0"/>
      </c:catAx>
      <c:valAx>
        <c:axId val="39991335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9968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负场统计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详细分析!$U$2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详细分析!$V$2:$AM$2</c:f>
              <c:numCache>
                <c:formatCode>General</c:formatCode>
                <c:ptCount val="18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详细分析!$U$3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详细分析!$V$3:$AM$3</c:f>
              <c:numCache>
                <c:formatCode>General</c:formatCode>
                <c:ptCount val="18"/>
                <c:pt idx="0">
                  <c:v>2</c:v>
                </c:pt>
                <c:pt idx="1">
                  <c:v>0</c:v>
                </c:pt>
                <c:pt idx="2">
                  <c:v>8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6</c:v>
                </c:pt>
                <c:pt idx="8">
                  <c:v>2</c:v>
                </c:pt>
                <c:pt idx="9">
                  <c:v>0</c:v>
                </c:pt>
                <c:pt idx="10">
                  <c:v>5</c:v>
                </c:pt>
                <c:pt idx="11">
                  <c:v>6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详细分析!$U$4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详细分析!$V$4:$AM$4</c:f>
              <c:numCache>
                <c:formatCode>General</c:formatCode>
                <c:ptCount val="18"/>
                <c:pt idx="0">
                  <c:v>3</c:v>
                </c:pt>
                <c:pt idx="1">
                  <c:v>8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4</c:v>
                </c:pt>
                <c:pt idx="6">
                  <c:v>1</c:v>
                </c:pt>
                <c:pt idx="7">
                  <c:v>5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详细分析!$U$5</c:f>
              <c:strCache>
                <c:ptCount val="1"/>
                <c:pt idx="0">
                  <c:v>龙明宣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详细分析!$V$5:$AM$5</c:f>
              <c:numCache>
                <c:formatCode>General</c:formatCode>
                <c:ptCount val="18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6</c:v>
                </c:pt>
                <c:pt idx="8">
                  <c:v>6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详细分析!$U$6</c:f>
              <c:strCache>
                <c:ptCount val="1"/>
                <c:pt idx="0">
                  <c:v>孙晓光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详细分析!$V$6:$AM$6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详细分析!$U$7</c:f>
              <c:strCache>
                <c:ptCount val="1"/>
                <c:pt idx="0">
                  <c:v>李辉军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详细分析!$V$7:$AM$7</c:f>
              <c:numCache>
                <c:formatCode>General</c:formatCode>
                <c:ptCount val="18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详细分析!$U$8</c:f>
              <c:strCache>
                <c:ptCount val="1"/>
                <c:pt idx="0">
                  <c:v>尹衍锋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详细分析!$V$8:$AM$8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4</c:v>
                </c:pt>
                <c:pt idx="16">
                  <c:v>4</c:v>
                </c:pt>
                <c:pt idx="17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详细分析!$U$9</c:f>
              <c:strCache>
                <c:ptCount val="1"/>
                <c:pt idx="0">
                  <c:v>罗剑民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详细分析!$V$9:$AM$9</c:f>
              <c:numCache>
                <c:formatCode>General</c:formatCode>
                <c:ptCount val="18"/>
                <c:pt idx="0">
                  <c:v>3</c:v>
                </c:pt>
                <c:pt idx="1">
                  <c:v>6</c:v>
                </c:pt>
                <c:pt idx="2">
                  <c:v>5</c:v>
                </c:pt>
                <c:pt idx="3">
                  <c:v>6</c:v>
                </c:pt>
                <c:pt idx="4">
                  <c:v>3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7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3</c:v>
                </c:pt>
                <c:pt idx="15">
                  <c:v>4</c:v>
                </c:pt>
                <c:pt idx="16">
                  <c:v>0</c:v>
                </c:pt>
                <c:pt idx="17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详细分析!$U$10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详细分析!$V$10:$AM$10</c:f>
              <c:numCache>
                <c:formatCode>General</c:formatCode>
                <c:ptCount val="18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详细分析!$U$11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详细分析!$V$11:$AM$11</c:f>
              <c:numCache>
                <c:formatCode>General</c:formatCode>
                <c:ptCount val="18"/>
                <c:pt idx="0">
                  <c:v>3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详细分析!$U$12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详细分析!$V$12:$AM$12</c:f>
              <c:numCache>
                <c:formatCode>General</c:formatCode>
                <c:ptCount val="18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7</c:v>
                </c:pt>
                <c:pt idx="5">
                  <c:v>1</c:v>
                </c:pt>
                <c:pt idx="6">
                  <c:v>1</c:v>
                </c:pt>
                <c:pt idx="7">
                  <c:v>7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详细分析!$U$13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详细分析!$V$13:$AM$13</c:f>
              <c:numCache>
                <c:formatCode>General</c:formatCode>
                <c:ptCount val="18"/>
                <c:pt idx="0">
                  <c:v>0</c:v>
                </c:pt>
                <c:pt idx="1">
                  <c:v>6</c:v>
                </c:pt>
                <c:pt idx="2">
                  <c:v>2</c:v>
                </c:pt>
                <c:pt idx="3">
                  <c:v>0</c:v>
                </c:pt>
                <c:pt idx="4">
                  <c:v>5</c:v>
                </c:pt>
                <c:pt idx="5">
                  <c:v>8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详细分析!$U$14</c:f>
              <c:strCache>
                <c:ptCount val="1"/>
                <c:pt idx="0">
                  <c:v>陈昱伟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详细分析!$V$14:$AM$14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详细分析!$U$15</c:f>
              <c:strCache>
                <c:ptCount val="1"/>
                <c:pt idx="0">
                  <c:v>戴银华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详细分析!$V$15:$AM$15</c:f>
              <c:numCache>
                <c:formatCode>General</c:formatCode>
                <c:ptCount val="18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详细分析!$U$16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详细分析!$V$16:$AM$16</c:f>
              <c:numCache>
                <c:formatCode>General</c:formatCode>
                <c:ptCount val="18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详细分析!$U$17</c:f>
              <c:strCache>
                <c:ptCount val="1"/>
                <c:pt idx="0">
                  <c:v>梅小鱼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详细分析!$V$17:$AM$17</c:f>
              <c:numCache>
                <c:formatCode>General</c:formatCode>
                <c:ptCount val="18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详细分析!$U$18</c:f>
              <c:strCache>
                <c:ptCount val="1"/>
                <c:pt idx="0">
                  <c:v>司思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详细分析!$V$18:$AM$18</c:f>
              <c:numCache>
                <c:formatCode>General</c:formatCode>
                <c:ptCount val="18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详细分析!$U$19</c:f>
              <c:strCache>
                <c:ptCount val="1"/>
                <c:pt idx="0">
                  <c:v>梅挂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详细分析!$V$19:$AM$19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1520288"/>
        <c:axId val="191520680"/>
      </c:lineChart>
      <c:catAx>
        <c:axId val="19152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520680"/>
        <c:crosses val="autoZero"/>
        <c:auto val="1"/>
        <c:lblAlgn val="ctr"/>
        <c:lblOffset val="100"/>
        <c:noMultiLvlLbl val="0"/>
      </c:catAx>
      <c:valAx>
        <c:axId val="19152068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152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总胜分统计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详细分析!$AO$2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详细分析!$AP$2:$BG$2</c:f>
              <c:numCache>
                <c:formatCode>General</c:formatCode>
                <c:ptCount val="18"/>
                <c:pt idx="0">
                  <c:v>0</c:v>
                </c:pt>
                <c:pt idx="1">
                  <c:v>35</c:v>
                </c:pt>
                <c:pt idx="2">
                  <c:v>0</c:v>
                </c:pt>
                <c:pt idx="3">
                  <c:v>9</c:v>
                </c:pt>
                <c:pt idx="4">
                  <c:v>5</c:v>
                </c:pt>
                <c:pt idx="5">
                  <c:v>0</c:v>
                </c:pt>
                <c:pt idx="6">
                  <c:v>37</c:v>
                </c:pt>
                <c:pt idx="7">
                  <c:v>33</c:v>
                </c:pt>
                <c:pt idx="8">
                  <c:v>0</c:v>
                </c:pt>
                <c:pt idx="9">
                  <c:v>7</c:v>
                </c:pt>
                <c:pt idx="10">
                  <c:v>0</c:v>
                </c:pt>
                <c:pt idx="11">
                  <c:v>15</c:v>
                </c:pt>
                <c:pt idx="12">
                  <c:v>0</c:v>
                </c:pt>
                <c:pt idx="13">
                  <c:v>3</c:v>
                </c:pt>
                <c:pt idx="14">
                  <c:v>16</c:v>
                </c:pt>
                <c:pt idx="15">
                  <c:v>47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详细分析!$AO$3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详细分析!$AP$3:$BG$3</c:f>
              <c:numCache>
                <c:formatCode>General</c:formatCode>
                <c:ptCount val="18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16</c:v>
                </c:pt>
                <c:pt idx="4">
                  <c:v>12</c:v>
                </c:pt>
                <c:pt idx="5">
                  <c:v>36</c:v>
                </c:pt>
                <c:pt idx="6">
                  <c:v>8</c:v>
                </c:pt>
                <c:pt idx="7">
                  <c:v>46</c:v>
                </c:pt>
                <c:pt idx="8">
                  <c:v>4</c:v>
                </c:pt>
                <c:pt idx="9">
                  <c:v>9</c:v>
                </c:pt>
                <c:pt idx="10">
                  <c:v>24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11</c:v>
                </c:pt>
                <c:pt idx="15">
                  <c:v>38</c:v>
                </c:pt>
                <c:pt idx="16">
                  <c:v>43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详细分析!$AO$4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详细分析!$AP$4:$BG$4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47</c:v>
                </c:pt>
                <c:pt idx="6">
                  <c:v>11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详细分析!$AO$5</c:f>
              <c:strCache>
                <c:ptCount val="1"/>
                <c:pt idx="0">
                  <c:v>龙明宣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详细分析!$AP$5:$BG$5</c:f>
              <c:numCache>
                <c:formatCode>General</c:formatCode>
                <c:ptCount val="18"/>
                <c:pt idx="0">
                  <c:v>9</c:v>
                </c:pt>
                <c:pt idx="1">
                  <c:v>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</c:v>
                </c:pt>
                <c:pt idx="6">
                  <c:v>0</c:v>
                </c:pt>
                <c:pt idx="7">
                  <c:v>34</c:v>
                </c:pt>
                <c:pt idx="8">
                  <c:v>2</c:v>
                </c:pt>
                <c:pt idx="9">
                  <c:v>6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10</c:v>
                </c:pt>
                <c:pt idx="1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详细分析!$AO$6</c:f>
              <c:strCache>
                <c:ptCount val="1"/>
                <c:pt idx="0">
                  <c:v>孙晓光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详细分析!$AP$6:$BG$6</c:f>
              <c:numCache>
                <c:formatCode>General</c:formatCode>
                <c:ptCount val="18"/>
                <c:pt idx="0">
                  <c:v>5</c:v>
                </c:pt>
                <c:pt idx="1">
                  <c:v>12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23</c:v>
                </c:pt>
                <c:pt idx="7">
                  <c:v>25</c:v>
                </c:pt>
                <c:pt idx="8">
                  <c:v>2</c:v>
                </c:pt>
                <c:pt idx="9">
                  <c:v>0</c:v>
                </c:pt>
                <c:pt idx="10">
                  <c:v>9</c:v>
                </c:pt>
                <c:pt idx="11">
                  <c:v>14</c:v>
                </c:pt>
                <c:pt idx="12">
                  <c:v>0</c:v>
                </c:pt>
                <c:pt idx="13">
                  <c:v>0</c:v>
                </c:pt>
                <c:pt idx="14">
                  <c:v>14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详细分析!$AO$7</c:f>
              <c:strCache>
                <c:ptCount val="1"/>
                <c:pt idx="0">
                  <c:v>李辉军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详细分析!$AP$7:$BG$7</c:f>
              <c:numCache>
                <c:formatCode>General</c:formatCode>
                <c:ptCount val="18"/>
                <c:pt idx="0">
                  <c:v>0</c:v>
                </c:pt>
                <c:pt idx="1">
                  <c:v>36</c:v>
                </c:pt>
                <c:pt idx="2">
                  <c:v>47</c:v>
                </c:pt>
                <c:pt idx="3">
                  <c:v>11</c:v>
                </c:pt>
                <c:pt idx="4">
                  <c:v>7</c:v>
                </c:pt>
                <c:pt idx="5">
                  <c:v>0</c:v>
                </c:pt>
                <c:pt idx="6">
                  <c:v>33</c:v>
                </c:pt>
                <c:pt idx="7">
                  <c:v>14</c:v>
                </c:pt>
                <c:pt idx="8">
                  <c:v>0</c:v>
                </c:pt>
                <c:pt idx="9">
                  <c:v>44</c:v>
                </c:pt>
                <c:pt idx="10">
                  <c:v>8</c:v>
                </c:pt>
                <c:pt idx="11">
                  <c:v>135</c:v>
                </c:pt>
                <c:pt idx="12">
                  <c:v>5</c:v>
                </c:pt>
                <c:pt idx="13">
                  <c:v>0</c:v>
                </c:pt>
                <c:pt idx="14">
                  <c:v>38</c:v>
                </c:pt>
                <c:pt idx="15">
                  <c:v>31</c:v>
                </c:pt>
                <c:pt idx="16">
                  <c:v>25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详细分析!$AO$8</c:f>
              <c:strCache>
                <c:ptCount val="1"/>
                <c:pt idx="0">
                  <c:v>尹衍锋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详细分析!$AP$8:$BG$8</c:f>
              <c:numCache>
                <c:formatCode>General</c:formatCode>
                <c:ptCount val="18"/>
                <c:pt idx="0">
                  <c:v>37</c:v>
                </c:pt>
                <c:pt idx="1">
                  <c:v>8</c:v>
                </c:pt>
                <c:pt idx="2">
                  <c:v>11</c:v>
                </c:pt>
                <c:pt idx="3">
                  <c:v>0</c:v>
                </c:pt>
                <c:pt idx="4">
                  <c:v>23</c:v>
                </c:pt>
                <c:pt idx="5">
                  <c:v>33</c:v>
                </c:pt>
                <c:pt idx="6">
                  <c:v>0</c:v>
                </c:pt>
                <c:pt idx="7">
                  <c:v>35</c:v>
                </c:pt>
                <c:pt idx="8">
                  <c:v>0</c:v>
                </c:pt>
                <c:pt idx="9">
                  <c:v>23</c:v>
                </c:pt>
                <c:pt idx="10">
                  <c:v>0</c:v>
                </c:pt>
                <c:pt idx="11">
                  <c:v>7</c:v>
                </c:pt>
                <c:pt idx="12">
                  <c:v>6</c:v>
                </c:pt>
                <c:pt idx="13">
                  <c:v>0</c:v>
                </c:pt>
                <c:pt idx="14">
                  <c:v>8</c:v>
                </c:pt>
                <c:pt idx="15">
                  <c:v>10</c:v>
                </c:pt>
                <c:pt idx="16">
                  <c:v>7</c:v>
                </c:pt>
                <c:pt idx="17">
                  <c:v>8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详细分析!$AO$9</c:f>
              <c:strCache>
                <c:ptCount val="1"/>
                <c:pt idx="0">
                  <c:v>罗剑民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详细分析!$AP$9:$BG$9</c:f>
              <c:numCache>
                <c:formatCode>General</c:formatCode>
                <c:ptCount val="18"/>
                <c:pt idx="0">
                  <c:v>33</c:v>
                </c:pt>
                <c:pt idx="1">
                  <c:v>46</c:v>
                </c:pt>
                <c:pt idx="2">
                  <c:v>0</c:v>
                </c:pt>
                <c:pt idx="3">
                  <c:v>34</c:v>
                </c:pt>
                <c:pt idx="4">
                  <c:v>25</c:v>
                </c:pt>
                <c:pt idx="5">
                  <c:v>14</c:v>
                </c:pt>
                <c:pt idx="6">
                  <c:v>35</c:v>
                </c:pt>
                <c:pt idx="7">
                  <c:v>0</c:v>
                </c:pt>
                <c:pt idx="8">
                  <c:v>10</c:v>
                </c:pt>
                <c:pt idx="9">
                  <c:v>7</c:v>
                </c:pt>
                <c:pt idx="10">
                  <c:v>12</c:v>
                </c:pt>
                <c:pt idx="11">
                  <c:v>14</c:v>
                </c:pt>
                <c:pt idx="12">
                  <c:v>12</c:v>
                </c:pt>
                <c:pt idx="13">
                  <c:v>0</c:v>
                </c:pt>
                <c:pt idx="14">
                  <c:v>4</c:v>
                </c:pt>
                <c:pt idx="15">
                  <c:v>14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详细分析!$AO$10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详细分析!$AP$10:$BG$10</c:f>
              <c:numCache>
                <c:formatCode>General</c:formatCode>
                <c:ptCount val="18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0</c:v>
                </c:pt>
                <c:pt idx="14">
                  <c:v>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详细分析!$AO$11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详细分析!$AP$11:$BG$11</c:f>
              <c:numCache>
                <c:formatCode>General</c:formatCode>
                <c:ptCount val="18"/>
                <c:pt idx="0">
                  <c:v>7</c:v>
                </c:pt>
                <c:pt idx="1">
                  <c:v>9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44</c:v>
                </c:pt>
                <c:pt idx="6">
                  <c:v>23</c:v>
                </c:pt>
                <c:pt idx="7">
                  <c:v>7</c:v>
                </c:pt>
                <c:pt idx="8">
                  <c:v>0</c:v>
                </c:pt>
                <c:pt idx="9">
                  <c:v>0</c:v>
                </c:pt>
                <c:pt idx="10">
                  <c:v>9</c:v>
                </c:pt>
                <c:pt idx="11">
                  <c:v>27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详细分析!$AO$12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详细分析!$AP$12:$BG$12</c:f>
              <c:numCache>
                <c:formatCode>General</c:formatCode>
                <c:ptCount val="18"/>
                <c:pt idx="0">
                  <c:v>0</c:v>
                </c:pt>
                <c:pt idx="1">
                  <c:v>24</c:v>
                </c:pt>
                <c:pt idx="2">
                  <c:v>0</c:v>
                </c:pt>
                <c:pt idx="3">
                  <c:v>0</c:v>
                </c:pt>
                <c:pt idx="4">
                  <c:v>9</c:v>
                </c:pt>
                <c:pt idx="5">
                  <c:v>8</c:v>
                </c:pt>
                <c:pt idx="6">
                  <c:v>0</c:v>
                </c:pt>
                <c:pt idx="7">
                  <c:v>12</c:v>
                </c:pt>
                <c:pt idx="8">
                  <c:v>0</c:v>
                </c:pt>
                <c:pt idx="9">
                  <c:v>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详细分析!$AO$13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详细分析!$AP$13:$BG$13</c:f>
              <c:numCache>
                <c:formatCode>General</c:formatCode>
                <c:ptCount val="18"/>
                <c:pt idx="0">
                  <c:v>15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14</c:v>
                </c:pt>
                <c:pt idx="5">
                  <c:v>135</c:v>
                </c:pt>
                <c:pt idx="6">
                  <c:v>7</c:v>
                </c:pt>
                <c:pt idx="7">
                  <c:v>14</c:v>
                </c:pt>
                <c:pt idx="8">
                  <c:v>0</c:v>
                </c:pt>
                <c:pt idx="9">
                  <c:v>27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详细分析!$AO$14</c:f>
              <c:strCache>
                <c:ptCount val="1"/>
                <c:pt idx="0">
                  <c:v>陈昱伟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详细分析!$AP$14:$BG$14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5</c:v>
                </c:pt>
                <c:pt idx="6">
                  <c:v>6</c:v>
                </c:pt>
                <c:pt idx="7">
                  <c:v>12</c:v>
                </c:pt>
                <c:pt idx="8">
                  <c:v>4</c:v>
                </c:pt>
                <c:pt idx="9">
                  <c:v>3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44</c:v>
                </c:pt>
                <c:pt idx="15">
                  <c:v>10</c:v>
                </c:pt>
                <c:pt idx="16">
                  <c:v>14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详细分析!$AO$15</c:f>
              <c:strCache>
                <c:ptCount val="1"/>
                <c:pt idx="0">
                  <c:v>戴银华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详细分析!$AP$15:$BG$15</c:f>
              <c:numCache>
                <c:formatCode>General</c:formatCode>
                <c:ptCount val="18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详细分析!$AO$16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详细分析!$AP$16:$BG$16</c:f>
              <c:numCache>
                <c:formatCode>General</c:formatCode>
                <c:ptCount val="18"/>
                <c:pt idx="0">
                  <c:v>16</c:v>
                </c:pt>
                <c:pt idx="1">
                  <c:v>11</c:v>
                </c:pt>
                <c:pt idx="2">
                  <c:v>0</c:v>
                </c:pt>
                <c:pt idx="3">
                  <c:v>0</c:v>
                </c:pt>
                <c:pt idx="4">
                  <c:v>14</c:v>
                </c:pt>
                <c:pt idx="5">
                  <c:v>38</c:v>
                </c:pt>
                <c:pt idx="6">
                  <c:v>8</c:v>
                </c:pt>
                <c:pt idx="7">
                  <c:v>4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44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详细分析!$AO$17</c:f>
              <c:strCache>
                <c:ptCount val="1"/>
                <c:pt idx="0">
                  <c:v>梅小鱼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详细分析!$AP$17:$BG$17</c:f>
              <c:numCache>
                <c:formatCode>General</c:formatCode>
                <c:ptCount val="18"/>
                <c:pt idx="0">
                  <c:v>47</c:v>
                </c:pt>
                <c:pt idx="1">
                  <c:v>38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31</c:v>
                </c:pt>
                <c:pt idx="6">
                  <c:v>10</c:v>
                </c:pt>
                <c:pt idx="7">
                  <c:v>14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详细分析!$AO$18</c:f>
              <c:strCache>
                <c:ptCount val="1"/>
                <c:pt idx="0">
                  <c:v>司思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详细分析!$AP$18:$BG$18</c:f>
              <c:numCache>
                <c:formatCode>General</c:formatCode>
                <c:ptCount val="18"/>
                <c:pt idx="0">
                  <c:v>0</c:v>
                </c:pt>
                <c:pt idx="1">
                  <c:v>43</c:v>
                </c:pt>
                <c:pt idx="2">
                  <c:v>0</c:v>
                </c:pt>
                <c:pt idx="3">
                  <c:v>10</c:v>
                </c:pt>
                <c:pt idx="4">
                  <c:v>0</c:v>
                </c:pt>
                <c:pt idx="5">
                  <c:v>25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详细分析!$AO$19</c:f>
              <c:strCache>
                <c:ptCount val="1"/>
                <c:pt idx="0">
                  <c:v>梅挂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详细分析!$AP$19:$BG$19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1521464"/>
        <c:axId val="191521856"/>
      </c:lineChart>
      <c:catAx>
        <c:axId val="191521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521856"/>
        <c:crosses val="autoZero"/>
        <c:auto val="1"/>
        <c:lblAlgn val="ctr"/>
        <c:lblOffset val="100"/>
        <c:noMultiLvlLbl val="0"/>
      </c:catAx>
      <c:valAx>
        <c:axId val="19152185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1521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总负分统计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0178502134264649E-2"/>
          <c:y val="0.10414878397711015"/>
          <c:w val="0.96585176561893671"/>
          <c:h val="0.778898088382729"/>
        </c:manualLayout>
      </c:layout>
      <c:lineChart>
        <c:grouping val="standard"/>
        <c:varyColors val="0"/>
        <c:ser>
          <c:idx val="0"/>
          <c:order val="0"/>
          <c:tx>
            <c:strRef>
              <c:f>详细分析!$BI$2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详细分析!$BJ$2:$CA$2</c:f>
              <c:numCache>
                <c:formatCode>General</c:formatCode>
                <c:ptCount val="18"/>
                <c:pt idx="0">
                  <c:v>0</c:v>
                </c:pt>
                <c:pt idx="1">
                  <c:v>-8</c:v>
                </c:pt>
                <c:pt idx="2">
                  <c:v>-21</c:v>
                </c:pt>
                <c:pt idx="3">
                  <c:v>-12</c:v>
                </c:pt>
                <c:pt idx="4">
                  <c:v>-3</c:v>
                </c:pt>
                <c:pt idx="5">
                  <c:v>-5</c:v>
                </c:pt>
                <c:pt idx="6">
                  <c:v>0</c:v>
                </c:pt>
                <c:pt idx="7">
                  <c:v>-25</c:v>
                </c:pt>
                <c:pt idx="8">
                  <c:v>0</c:v>
                </c:pt>
                <c:pt idx="9">
                  <c:v>-15</c:v>
                </c:pt>
                <c:pt idx="10">
                  <c:v>-8</c:v>
                </c:pt>
                <c:pt idx="11">
                  <c:v>0</c:v>
                </c:pt>
                <c:pt idx="12">
                  <c:v>0</c:v>
                </c:pt>
                <c:pt idx="13">
                  <c:v>-12</c:v>
                </c:pt>
                <c:pt idx="14">
                  <c:v>-17</c:v>
                </c:pt>
                <c:pt idx="15">
                  <c:v>-28</c:v>
                </c:pt>
                <c:pt idx="16">
                  <c:v>-2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详细分析!$BI$3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详细分析!$BJ$3:$CA$3</c:f>
              <c:numCache>
                <c:formatCode>General</c:formatCode>
                <c:ptCount val="18"/>
                <c:pt idx="0">
                  <c:v>-8</c:v>
                </c:pt>
                <c:pt idx="1">
                  <c:v>0</c:v>
                </c:pt>
                <c:pt idx="2">
                  <c:v>-41</c:v>
                </c:pt>
                <c:pt idx="3">
                  <c:v>-7</c:v>
                </c:pt>
                <c:pt idx="4">
                  <c:v>-2</c:v>
                </c:pt>
                <c:pt idx="5">
                  <c:v>-12</c:v>
                </c:pt>
                <c:pt idx="6">
                  <c:v>-2</c:v>
                </c:pt>
                <c:pt idx="7">
                  <c:v>-24</c:v>
                </c:pt>
                <c:pt idx="8">
                  <c:v>-12</c:v>
                </c:pt>
                <c:pt idx="9">
                  <c:v>0</c:v>
                </c:pt>
                <c:pt idx="10">
                  <c:v>-21</c:v>
                </c:pt>
                <c:pt idx="11">
                  <c:v>-44</c:v>
                </c:pt>
                <c:pt idx="12">
                  <c:v>-4</c:v>
                </c:pt>
                <c:pt idx="13">
                  <c:v>-8</c:v>
                </c:pt>
                <c:pt idx="14">
                  <c:v>0</c:v>
                </c:pt>
                <c:pt idx="15">
                  <c:v>-6</c:v>
                </c:pt>
                <c:pt idx="16">
                  <c:v>-16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详细分析!$BI$4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详细分析!$BJ$4:$CA$4</c:f>
              <c:numCache>
                <c:formatCode>General</c:formatCode>
                <c:ptCount val="18"/>
                <c:pt idx="0">
                  <c:v>-21</c:v>
                </c:pt>
                <c:pt idx="1">
                  <c:v>-41</c:v>
                </c:pt>
                <c:pt idx="2">
                  <c:v>0</c:v>
                </c:pt>
                <c:pt idx="3">
                  <c:v>-22</c:v>
                </c:pt>
                <c:pt idx="4">
                  <c:v>0</c:v>
                </c:pt>
                <c:pt idx="5">
                  <c:v>-27</c:v>
                </c:pt>
                <c:pt idx="6">
                  <c:v>-8</c:v>
                </c:pt>
                <c:pt idx="7">
                  <c:v>-33</c:v>
                </c:pt>
                <c:pt idx="8">
                  <c:v>0</c:v>
                </c:pt>
                <c:pt idx="9">
                  <c:v>-17</c:v>
                </c:pt>
                <c:pt idx="10">
                  <c:v>-28</c:v>
                </c:pt>
                <c:pt idx="11">
                  <c:v>-15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-7</c:v>
                </c:pt>
                <c:pt idx="16">
                  <c:v>-17</c:v>
                </c:pt>
                <c:pt idx="17">
                  <c:v>-6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详细分析!$BI$5</c:f>
              <c:strCache>
                <c:ptCount val="1"/>
                <c:pt idx="0">
                  <c:v>龙明宣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详细分析!$BJ$5:$CA$5</c:f>
              <c:numCache>
                <c:formatCode>General</c:formatCode>
                <c:ptCount val="18"/>
                <c:pt idx="0">
                  <c:v>-12</c:v>
                </c:pt>
                <c:pt idx="1">
                  <c:v>-7</c:v>
                </c:pt>
                <c:pt idx="2">
                  <c:v>-22</c:v>
                </c:pt>
                <c:pt idx="3">
                  <c:v>0</c:v>
                </c:pt>
                <c:pt idx="4">
                  <c:v>-17</c:v>
                </c:pt>
                <c:pt idx="5">
                  <c:v>-17</c:v>
                </c:pt>
                <c:pt idx="6">
                  <c:v>-19</c:v>
                </c:pt>
                <c:pt idx="7">
                  <c:v>-38</c:v>
                </c:pt>
                <c:pt idx="8">
                  <c:v>-34</c:v>
                </c:pt>
                <c:pt idx="9">
                  <c:v>-14</c:v>
                </c:pt>
                <c:pt idx="10">
                  <c:v>-14</c:v>
                </c:pt>
                <c:pt idx="11">
                  <c:v>0</c:v>
                </c:pt>
                <c:pt idx="12">
                  <c:v>-31</c:v>
                </c:pt>
                <c:pt idx="13">
                  <c:v>-8</c:v>
                </c:pt>
                <c:pt idx="14">
                  <c:v>0</c:v>
                </c:pt>
                <c:pt idx="15">
                  <c:v>0</c:v>
                </c:pt>
                <c:pt idx="16">
                  <c:v>-12</c:v>
                </c:pt>
                <c:pt idx="1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详细分析!$BI$6</c:f>
              <c:strCache>
                <c:ptCount val="1"/>
                <c:pt idx="0">
                  <c:v>孙晓光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详细分析!$BJ$6:$CA$6</c:f>
              <c:numCache>
                <c:formatCode>General</c:formatCode>
                <c:ptCount val="18"/>
                <c:pt idx="0">
                  <c:v>-3</c:v>
                </c:pt>
                <c:pt idx="1">
                  <c:v>-2</c:v>
                </c:pt>
                <c:pt idx="2">
                  <c:v>0</c:v>
                </c:pt>
                <c:pt idx="3">
                  <c:v>-17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-15</c:v>
                </c:pt>
                <c:pt idx="8">
                  <c:v>0</c:v>
                </c:pt>
                <c:pt idx="9">
                  <c:v>0</c:v>
                </c:pt>
                <c:pt idx="10">
                  <c:v>-36</c:v>
                </c:pt>
                <c:pt idx="11">
                  <c:v>-23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详细分析!$BI$7</c:f>
              <c:strCache>
                <c:ptCount val="1"/>
                <c:pt idx="0">
                  <c:v>李辉军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详细分析!$BJ$7:$CA$7</c:f>
              <c:numCache>
                <c:formatCode>General</c:formatCode>
                <c:ptCount val="18"/>
                <c:pt idx="0">
                  <c:v>-5</c:v>
                </c:pt>
                <c:pt idx="1">
                  <c:v>-12</c:v>
                </c:pt>
                <c:pt idx="2">
                  <c:v>-27</c:v>
                </c:pt>
                <c:pt idx="3">
                  <c:v>-17</c:v>
                </c:pt>
                <c:pt idx="4">
                  <c:v>0</c:v>
                </c:pt>
                <c:pt idx="5">
                  <c:v>0</c:v>
                </c:pt>
                <c:pt idx="6">
                  <c:v>-5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</c:v>
                </c:pt>
                <c:pt idx="11">
                  <c:v>-43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详细分析!$BI$8</c:f>
              <c:strCache>
                <c:ptCount val="1"/>
                <c:pt idx="0">
                  <c:v>尹衍锋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详细分析!$BJ$8:$CA$8</c:f>
              <c:numCache>
                <c:formatCode>General</c:formatCode>
                <c:ptCount val="18"/>
                <c:pt idx="0">
                  <c:v>0</c:v>
                </c:pt>
                <c:pt idx="1">
                  <c:v>-2</c:v>
                </c:pt>
                <c:pt idx="2">
                  <c:v>-8</c:v>
                </c:pt>
                <c:pt idx="3">
                  <c:v>-19</c:v>
                </c:pt>
                <c:pt idx="4">
                  <c:v>0</c:v>
                </c:pt>
                <c:pt idx="5">
                  <c:v>-5</c:v>
                </c:pt>
                <c:pt idx="6">
                  <c:v>-3</c:v>
                </c:pt>
                <c:pt idx="7">
                  <c:v>-24</c:v>
                </c:pt>
                <c:pt idx="8">
                  <c:v>-22</c:v>
                </c:pt>
                <c:pt idx="9">
                  <c:v>-9</c:v>
                </c:pt>
                <c:pt idx="10">
                  <c:v>-7</c:v>
                </c:pt>
                <c:pt idx="11">
                  <c:v>-3</c:v>
                </c:pt>
                <c:pt idx="12">
                  <c:v>0</c:v>
                </c:pt>
                <c:pt idx="13">
                  <c:v>-9</c:v>
                </c:pt>
                <c:pt idx="14">
                  <c:v>-3</c:v>
                </c:pt>
                <c:pt idx="15">
                  <c:v>-30</c:v>
                </c:pt>
                <c:pt idx="16">
                  <c:v>-28</c:v>
                </c:pt>
                <c:pt idx="17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详细分析!$BI$9</c:f>
              <c:strCache>
                <c:ptCount val="1"/>
                <c:pt idx="0">
                  <c:v>罗剑民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详细分析!$BJ$9:$CA$9</c:f>
              <c:numCache>
                <c:formatCode>General</c:formatCode>
                <c:ptCount val="18"/>
                <c:pt idx="0">
                  <c:v>-25</c:v>
                </c:pt>
                <c:pt idx="1">
                  <c:v>-24</c:v>
                </c:pt>
                <c:pt idx="2">
                  <c:v>-33</c:v>
                </c:pt>
                <c:pt idx="3">
                  <c:v>-38</c:v>
                </c:pt>
                <c:pt idx="4">
                  <c:v>-15</c:v>
                </c:pt>
                <c:pt idx="5">
                  <c:v>0</c:v>
                </c:pt>
                <c:pt idx="6">
                  <c:v>-24</c:v>
                </c:pt>
                <c:pt idx="7">
                  <c:v>0</c:v>
                </c:pt>
                <c:pt idx="8">
                  <c:v>-17</c:v>
                </c:pt>
                <c:pt idx="9">
                  <c:v>0</c:v>
                </c:pt>
                <c:pt idx="10">
                  <c:v>-48</c:v>
                </c:pt>
                <c:pt idx="11">
                  <c:v>-14</c:v>
                </c:pt>
                <c:pt idx="12">
                  <c:v>-3</c:v>
                </c:pt>
                <c:pt idx="13">
                  <c:v>0</c:v>
                </c:pt>
                <c:pt idx="14">
                  <c:v>-19</c:v>
                </c:pt>
                <c:pt idx="15">
                  <c:v>-24</c:v>
                </c:pt>
                <c:pt idx="16">
                  <c:v>0</c:v>
                </c:pt>
                <c:pt idx="17">
                  <c:v>-3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详细分析!$BI$10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详细分析!$BJ$10:$CA$10</c:f>
              <c:numCache>
                <c:formatCode>General</c:formatCode>
                <c:ptCount val="18"/>
                <c:pt idx="0">
                  <c:v>0</c:v>
                </c:pt>
                <c:pt idx="1">
                  <c:v>-12</c:v>
                </c:pt>
                <c:pt idx="2">
                  <c:v>0</c:v>
                </c:pt>
                <c:pt idx="3">
                  <c:v>-34</c:v>
                </c:pt>
                <c:pt idx="4">
                  <c:v>0</c:v>
                </c:pt>
                <c:pt idx="5">
                  <c:v>0</c:v>
                </c:pt>
                <c:pt idx="6">
                  <c:v>-22</c:v>
                </c:pt>
                <c:pt idx="7">
                  <c:v>-17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详细分析!$BI$11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详细分析!$BJ$11:$CA$11</c:f>
              <c:numCache>
                <c:formatCode>General</c:formatCode>
                <c:ptCount val="18"/>
                <c:pt idx="0">
                  <c:v>-15</c:v>
                </c:pt>
                <c:pt idx="1">
                  <c:v>0</c:v>
                </c:pt>
                <c:pt idx="2">
                  <c:v>-17</c:v>
                </c:pt>
                <c:pt idx="3">
                  <c:v>-14</c:v>
                </c:pt>
                <c:pt idx="4">
                  <c:v>0</c:v>
                </c:pt>
                <c:pt idx="5">
                  <c:v>0</c:v>
                </c:pt>
                <c:pt idx="6">
                  <c:v>-9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-39</c:v>
                </c:pt>
                <c:pt idx="11">
                  <c:v>-7</c:v>
                </c:pt>
                <c:pt idx="12">
                  <c:v>0</c:v>
                </c:pt>
                <c:pt idx="13">
                  <c:v>0</c:v>
                </c:pt>
                <c:pt idx="14">
                  <c:v>-21</c:v>
                </c:pt>
                <c:pt idx="15">
                  <c:v>0</c:v>
                </c:pt>
                <c:pt idx="16">
                  <c:v>-24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详细分析!$BI$12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详细分析!$BJ$12:$CA$12</c:f>
              <c:numCache>
                <c:formatCode>General</c:formatCode>
                <c:ptCount val="18"/>
                <c:pt idx="0">
                  <c:v>-8</c:v>
                </c:pt>
                <c:pt idx="1">
                  <c:v>-21</c:v>
                </c:pt>
                <c:pt idx="2">
                  <c:v>-28</c:v>
                </c:pt>
                <c:pt idx="3">
                  <c:v>-14</c:v>
                </c:pt>
                <c:pt idx="4">
                  <c:v>-36</c:v>
                </c:pt>
                <c:pt idx="5">
                  <c:v>-2</c:v>
                </c:pt>
                <c:pt idx="6">
                  <c:v>-7</c:v>
                </c:pt>
                <c:pt idx="7">
                  <c:v>-48</c:v>
                </c:pt>
                <c:pt idx="8">
                  <c:v>0</c:v>
                </c:pt>
                <c:pt idx="9">
                  <c:v>-39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详细分析!$BI$13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详细分析!$BJ$13:$CA$13</c:f>
              <c:numCache>
                <c:formatCode>General</c:formatCode>
                <c:ptCount val="18"/>
                <c:pt idx="0">
                  <c:v>0</c:v>
                </c:pt>
                <c:pt idx="1">
                  <c:v>-44</c:v>
                </c:pt>
                <c:pt idx="2">
                  <c:v>-15</c:v>
                </c:pt>
                <c:pt idx="3">
                  <c:v>0</c:v>
                </c:pt>
                <c:pt idx="4">
                  <c:v>-23</c:v>
                </c:pt>
                <c:pt idx="5">
                  <c:v>-43</c:v>
                </c:pt>
                <c:pt idx="6">
                  <c:v>-3</c:v>
                </c:pt>
                <c:pt idx="7">
                  <c:v>-14</c:v>
                </c:pt>
                <c:pt idx="8">
                  <c:v>0</c:v>
                </c:pt>
                <c:pt idx="9">
                  <c:v>-7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详细分析!$BI$14</c:f>
              <c:strCache>
                <c:ptCount val="1"/>
                <c:pt idx="0">
                  <c:v>陈昱伟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详细分析!$BJ$14:$CA$14</c:f>
              <c:numCache>
                <c:formatCode>General</c:formatCode>
                <c:ptCount val="18"/>
                <c:pt idx="0">
                  <c:v>0</c:v>
                </c:pt>
                <c:pt idx="1">
                  <c:v>-4</c:v>
                </c:pt>
                <c:pt idx="2">
                  <c:v>0</c:v>
                </c:pt>
                <c:pt idx="3">
                  <c:v>-31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-14</c:v>
                </c:pt>
                <c:pt idx="15">
                  <c:v>-3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详细分析!$BI$15</c:f>
              <c:strCache>
                <c:ptCount val="1"/>
                <c:pt idx="0">
                  <c:v>戴银华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详细分析!$BJ$15:$CA$15</c:f>
              <c:numCache>
                <c:formatCode>General</c:formatCode>
                <c:ptCount val="18"/>
                <c:pt idx="0">
                  <c:v>-12</c:v>
                </c:pt>
                <c:pt idx="1">
                  <c:v>-8</c:v>
                </c:pt>
                <c:pt idx="2">
                  <c:v>0</c:v>
                </c:pt>
                <c:pt idx="3">
                  <c:v>-8</c:v>
                </c:pt>
                <c:pt idx="4">
                  <c:v>0</c:v>
                </c:pt>
                <c:pt idx="5">
                  <c:v>0</c:v>
                </c:pt>
                <c:pt idx="6">
                  <c:v>-9</c:v>
                </c:pt>
                <c:pt idx="7">
                  <c:v>0</c:v>
                </c:pt>
                <c:pt idx="8">
                  <c:v>-8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详细分析!$BI$16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详细分析!$BJ$16:$CA$16</c:f>
              <c:numCache>
                <c:formatCode>General</c:formatCode>
                <c:ptCount val="18"/>
                <c:pt idx="0">
                  <c:v>-17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</c:v>
                </c:pt>
                <c:pt idx="7">
                  <c:v>-19</c:v>
                </c:pt>
                <c:pt idx="8">
                  <c:v>0</c:v>
                </c:pt>
                <c:pt idx="9">
                  <c:v>-21</c:v>
                </c:pt>
                <c:pt idx="10">
                  <c:v>0</c:v>
                </c:pt>
                <c:pt idx="11">
                  <c:v>0</c:v>
                </c:pt>
                <c:pt idx="12">
                  <c:v>-14</c:v>
                </c:pt>
                <c:pt idx="13">
                  <c:v>-13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-5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详细分析!$BI$17</c:f>
              <c:strCache>
                <c:ptCount val="1"/>
                <c:pt idx="0">
                  <c:v>梅小鱼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详细分析!$BJ$17:$CA$17</c:f>
              <c:numCache>
                <c:formatCode>General</c:formatCode>
                <c:ptCount val="18"/>
                <c:pt idx="0">
                  <c:v>-28</c:v>
                </c:pt>
                <c:pt idx="1">
                  <c:v>-6</c:v>
                </c:pt>
                <c:pt idx="2">
                  <c:v>-7</c:v>
                </c:pt>
                <c:pt idx="3">
                  <c:v>0</c:v>
                </c:pt>
                <c:pt idx="4">
                  <c:v>-17</c:v>
                </c:pt>
                <c:pt idx="5">
                  <c:v>-13</c:v>
                </c:pt>
                <c:pt idx="6">
                  <c:v>-30</c:v>
                </c:pt>
                <c:pt idx="7">
                  <c:v>-24</c:v>
                </c:pt>
                <c:pt idx="8">
                  <c:v>0</c:v>
                </c:pt>
                <c:pt idx="9">
                  <c:v>0</c:v>
                </c:pt>
                <c:pt idx="10">
                  <c:v>-9</c:v>
                </c:pt>
                <c:pt idx="11">
                  <c:v>-9</c:v>
                </c:pt>
                <c:pt idx="12">
                  <c:v>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-4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详细分析!$BI$18</c:f>
              <c:strCache>
                <c:ptCount val="1"/>
                <c:pt idx="0">
                  <c:v>司思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详细分析!$BJ$18:$CA$18</c:f>
              <c:numCache>
                <c:formatCode>General</c:formatCode>
                <c:ptCount val="18"/>
                <c:pt idx="0">
                  <c:v>-2</c:v>
                </c:pt>
                <c:pt idx="1">
                  <c:v>-16</c:v>
                </c:pt>
                <c:pt idx="2">
                  <c:v>-17</c:v>
                </c:pt>
                <c:pt idx="3">
                  <c:v>-12</c:v>
                </c:pt>
                <c:pt idx="4">
                  <c:v>0</c:v>
                </c:pt>
                <c:pt idx="5">
                  <c:v>0</c:v>
                </c:pt>
                <c:pt idx="6">
                  <c:v>-28</c:v>
                </c:pt>
                <c:pt idx="7">
                  <c:v>0</c:v>
                </c:pt>
                <c:pt idx="8">
                  <c:v>0</c:v>
                </c:pt>
                <c:pt idx="9">
                  <c:v>-24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详细分析!$BI$19</c:f>
              <c:strCache>
                <c:ptCount val="1"/>
                <c:pt idx="0">
                  <c:v>梅挂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详细分析!$BJ$19:$CA$19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-6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-5</c:v>
                </c:pt>
                <c:pt idx="15">
                  <c:v>-4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1519112"/>
        <c:axId val="191518720"/>
      </c:lineChart>
      <c:catAx>
        <c:axId val="191519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518720"/>
        <c:crosses val="autoZero"/>
        <c:auto val="1"/>
        <c:lblAlgn val="ctr"/>
        <c:lblOffset val="100"/>
        <c:noMultiLvlLbl val="0"/>
      </c:catAx>
      <c:valAx>
        <c:axId val="19151872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1519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胜率统计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详细分析!$CC$2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详细分析!$CD$2:$CU$2</c:f>
              <c:numCache>
                <c:formatCode>0%</c:formatCode>
                <c:ptCount val="18"/>
                <c:pt idx="0">
                  <c:v>0</c:v>
                </c:pt>
                <c:pt idx="1">
                  <c:v>0.66666666666666663</c:v>
                </c:pt>
                <c:pt idx="2">
                  <c:v>-1</c:v>
                </c:pt>
                <c:pt idx="3">
                  <c:v>0.4</c:v>
                </c:pt>
                <c:pt idx="4">
                  <c:v>0.5</c:v>
                </c:pt>
                <c:pt idx="5">
                  <c:v>-1</c:v>
                </c:pt>
                <c:pt idx="6">
                  <c:v>1</c:v>
                </c:pt>
                <c:pt idx="7">
                  <c:v>0.625</c:v>
                </c:pt>
                <c:pt idx="8">
                  <c:v>0</c:v>
                </c:pt>
                <c:pt idx="9">
                  <c:v>0.4</c:v>
                </c:pt>
                <c:pt idx="10">
                  <c:v>-1</c:v>
                </c:pt>
                <c:pt idx="11">
                  <c:v>1</c:v>
                </c:pt>
                <c:pt idx="12">
                  <c:v>0</c:v>
                </c:pt>
                <c:pt idx="13">
                  <c:v>0.33333333333333331</c:v>
                </c:pt>
                <c:pt idx="14">
                  <c:v>0.4</c:v>
                </c:pt>
                <c:pt idx="15">
                  <c:v>0.63636363636363635</c:v>
                </c:pt>
                <c:pt idx="16">
                  <c:v>-1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详细分析!$CC$3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详细分析!$CD$3:$CU$3</c:f>
              <c:numCache>
                <c:formatCode>0%</c:formatCode>
                <c:ptCount val="18"/>
                <c:pt idx="0">
                  <c:v>0.66666666666666663</c:v>
                </c:pt>
                <c:pt idx="1">
                  <c:v>0</c:v>
                </c:pt>
                <c:pt idx="2">
                  <c:v>-1</c:v>
                </c:pt>
                <c:pt idx="3">
                  <c:v>0.6</c:v>
                </c:pt>
                <c:pt idx="4">
                  <c:v>0.5</c:v>
                </c:pt>
                <c:pt idx="5">
                  <c:v>0.75</c:v>
                </c:pt>
                <c:pt idx="6">
                  <c:v>0.5</c:v>
                </c:pt>
                <c:pt idx="7">
                  <c:v>0.53846153846153844</c:v>
                </c:pt>
                <c:pt idx="8">
                  <c:v>0.33333333333333331</c:v>
                </c:pt>
                <c:pt idx="9">
                  <c:v>1</c:v>
                </c:pt>
                <c:pt idx="10">
                  <c:v>0.5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1</c:v>
                </c:pt>
                <c:pt idx="15">
                  <c:v>0.8571428571428571</c:v>
                </c:pt>
                <c:pt idx="16">
                  <c:v>0.625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详细分析!$CC$4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详细分析!$CD$4:$CU$4</c:f>
              <c:numCache>
                <c:formatCode>0%</c:formatCode>
                <c:ptCount val="18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1</c:v>
                </c:pt>
                <c:pt idx="5">
                  <c:v>0.55555555555555558</c:v>
                </c:pt>
                <c:pt idx="6">
                  <c:v>0.5</c:v>
                </c:pt>
                <c:pt idx="7">
                  <c:v>-1</c:v>
                </c:pt>
                <c:pt idx="8">
                  <c:v>0</c:v>
                </c:pt>
                <c:pt idx="9">
                  <c:v>-1</c:v>
                </c:pt>
                <c:pt idx="10">
                  <c:v>-1</c:v>
                </c:pt>
                <c:pt idx="11">
                  <c:v>0.33333333333333331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详细分析!$CC$5</c:f>
              <c:strCache>
                <c:ptCount val="1"/>
                <c:pt idx="0">
                  <c:v>龙明宣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详细分析!$CD$5:$CU$5</c:f>
              <c:numCache>
                <c:formatCode>0%</c:formatCode>
                <c:ptCount val="18"/>
                <c:pt idx="0">
                  <c:v>0.4</c:v>
                </c:pt>
                <c:pt idx="1">
                  <c:v>0.6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0.4</c:v>
                </c:pt>
                <c:pt idx="6">
                  <c:v>-1</c:v>
                </c:pt>
                <c:pt idx="7">
                  <c:v>0.5</c:v>
                </c:pt>
                <c:pt idx="8">
                  <c:v>0.14285714285714285</c:v>
                </c:pt>
                <c:pt idx="9">
                  <c:v>0.33333333333333331</c:v>
                </c:pt>
                <c:pt idx="10">
                  <c:v>-1</c:v>
                </c:pt>
                <c:pt idx="11">
                  <c:v>0</c:v>
                </c:pt>
                <c:pt idx="12">
                  <c:v>0.4</c:v>
                </c:pt>
                <c:pt idx="13">
                  <c:v>-1</c:v>
                </c:pt>
                <c:pt idx="14">
                  <c:v>0</c:v>
                </c:pt>
                <c:pt idx="15">
                  <c:v>0</c:v>
                </c:pt>
                <c:pt idx="16">
                  <c:v>0.33333333333333331</c:v>
                </c:pt>
                <c:pt idx="1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详细分析!$CC$6</c:f>
              <c:strCache>
                <c:ptCount val="1"/>
                <c:pt idx="0">
                  <c:v>孙晓光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详细分析!$CD$6:$CU$6</c:f>
              <c:numCache>
                <c:formatCode>0%</c:formatCode>
                <c:ptCount val="18"/>
                <c:pt idx="0">
                  <c:v>0.5</c:v>
                </c:pt>
                <c:pt idx="1">
                  <c:v>0.5</c:v>
                </c:pt>
                <c:pt idx="2">
                  <c:v>1</c:v>
                </c:pt>
                <c:pt idx="3">
                  <c:v>-1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1</c:v>
                </c:pt>
                <c:pt idx="9">
                  <c:v>0</c:v>
                </c:pt>
                <c:pt idx="10">
                  <c:v>0.22222222222222221</c:v>
                </c:pt>
                <c:pt idx="11">
                  <c:v>0.2857142857142857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0.33333333333333331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详细分析!$CC$7</c:f>
              <c:strCache>
                <c:ptCount val="1"/>
                <c:pt idx="0">
                  <c:v>李辉军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详细分析!$CD$7:$CU$7</c:f>
              <c:numCache>
                <c:formatCode>0%</c:formatCode>
                <c:ptCount val="18"/>
                <c:pt idx="0">
                  <c:v>-1</c:v>
                </c:pt>
                <c:pt idx="1">
                  <c:v>0.75</c:v>
                </c:pt>
                <c:pt idx="2">
                  <c:v>0.55555555555555558</c:v>
                </c:pt>
                <c:pt idx="3">
                  <c:v>0.4</c:v>
                </c:pt>
                <c:pt idx="4">
                  <c:v>1</c:v>
                </c:pt>
                <c:pt idx="5">
                  <c:v>0</c:v>
                </c:pt>
                <c:pt idx="6">
                  <c:v>0.88888888888888884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0.5</c:v>
                </c:pt>
                <c:pt idx="11">
                  <c:v>0.72413793103448276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0.66666666666666663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详细分析!$CC$8</c:f>
              <c:strCache>
                <c:ptCount val="1"/>
                <c:pt idx="0">
                  <c:v>尹衍锋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详细分析!$CD$8:$CU$8</c:f>
              <c:numCache>
                <c:formatCode>0%</c:formatCode>
                <c:ptCount val="18"/>
                <c:pt idx="0">
                  <c:v>1</c:v>
                </c:pt>
                <c:pt idx="1">
                  <c:v>0.5</c:v>
                </c:pt>
                <c:pt idx="2">
                  <c:v>0.5</c:v>
                </c:pt>
                <c:pt idx="3">
                  <c:v>-1</c:v>
                </c:pt>
                <c:pt idx="4">
                  <c:v>1</c:v>
                </c:pt>
                <c:pt idx="5">
                  <c:v>0.88888888888888884</c:v>
                </c:pt>
                <c:pt idx="6">
                  <c:v>-1</c:v>
                </c:pt>
                <c:pt idx="7">
                  <c:v>0.66666666666666663</c:v>
                </c:pt>
                <c:pt idx="8">
                  <c:v>-1</c:v>
                </c:pt>
                <c:pt idx="9">
                  <c:v>0.625</c:v>
                </c:pt>
                <c:pt idx="10">
                  <c:v>-1</c:v>
                </c:pt>
                <c:pt idx="11">
                  <c:v>0.75</c:v>
                </c:pt>
                <c:pt idx="12">
                  <c:v>1</c:v>
                </c:pt>
                <c:pt idx="13">
                  <c:v>-1</c:v>
                </c:pt>
                <c:pt idx="14">
                  <c:v>0.66666666666666663</c:v>
                </c:pt>
                <c:pt idx="15">
                  <c:v>0.33333333333333331</c:v>
                </c:pt>
                <c:pt idx="16">
                  <c:v>0.33333333333333331</c:v>
                </c:pt>
                <c:pt idx="17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详细分析!$CC$9</c:f>
              <c:strCache>
                <c:ptCount val="1"/>
                <c:pt idx="0">
                  <c:v>罗剑民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详细分析!$CD$9:$CU$9</c:f>
              <c:numCache>
                <c:formatCode>0%</c:formatCode>
                <c:ptCount val="18"/>
                <c:pt idx="0">
                  <c:v>0.625</c:v>
                </c:pt>
                <c:pt idx="1">
                  <c:v>0.53846153846153844</c:v>
                </c:pt>
                <c:pt idx="2">
                  <c:v>-1</c:v>
                </c:pt>
                <c:pt idx="3">
                  <c:v>0.5</c:v>
                </c:pt>
                <c:pt idx="4">
                  <c:v>0.5</c:v>
                </c:pt>
                <c:pt idx="5">
                  <c:v>1</c:v>
                </c:pt>
                <c:pt idx="6">
                  <c:v>0.66666666666666663</c:v>
                </c:pt>
                <c:pt idx="7">
                  <c:v>0</c:v>
                </c:pt>
                <c:pt idx="8">
                  <c:v>0.25</c:v>
                </c:pt>
                <c:pt idx="9">
                  <c:v>1</c:v>
                </c:pt>
                <c:pt idx="10">
                  <c:v>0.41666666666666669</c:v>
                </c:pt>
                <c:pt idx="11">
                  <c:v>0.5</c:v>
                </c:pt>
                <c:pt idx="12">
                  <c:v>0.75</c:v>
                </c:pt>
                <c:pt idx="13">
                  <c:v>0</c:v>
                </c:pt>
                <c:pt idx="14">
                  <c:v>0.25</c:v>
                </c:pt>
                <c:pt idx="15">
                  <c:v>0.33333333333333331</c:v>
                </c:pt>
                <c:pt idx="16">
                  <c:v>0</c:v>
                </c:pt>
                <c:pt idx="17">
                  <c:v>-1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详细分析!$CC$10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详细分析!$CD$10:$CU$10</c:f>
              <c:numCache>
                <c:formatCode>0%</c:formatCode>
                <c:ptCount val="18"/>
                <c:pt idx="0">
                  <c:v>0</c:v>
                </c:pt>
                <c:pt idx="1">
                  <c:v>0.33333333333333331</c:v>
                </c:pt>
                <c:pt idx="2">
                  <c:v>0</c:v>
                </c:pt>
                <c:pt idx="3">
                  <c:v>0.14285714285714285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0.25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-1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详细分析!$CC$11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详细分析!$CD$11:$CU$11</c:f>
              <c:numCache>
                <c:formatCode>0%</c:formatCode>
                <c:ptCount val="18"/>
                <c:pt idx="0">
                  <c:v>0.4</c:v>
                </c:pt>
                <c:pt idx="1">
                  <c:v>1</c:v>
                </c:pt>
                <c:pt idx="2">
                  <c:v>-1</c:v>
                </c:pt>
                <c:pt idx="3">
                  <c:v>0.33333333333333331</c:v>
                </c:pt>
                <c:pt idx="4">
                  <c:v>0</c:v>
                </c:pt>
                <c:pt idx="5">
                  <c:v>1</c:v>
                </c:pt>
                <c:pt idx="6">
                  <c:v>0.625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0.75</c:v>
                </c:pt>
                <c:pt idx="12">
                  <c:v>1</c:v>
                </c:pt>
                <c:pt idx="13">
                  <c:v>0</c:v>
                </c:pt>
                <c:pt idx="14">
                  <c:v>-1</c:v>
                </c:pt>
                <c:pt idx="15">
                  <c:v>0</c:v>
                </c:pt>
                <c:pt idx="16">
                  <c:v>-1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详细分析!$CC$12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详细分析!$CD$12:$CU$12</c:f>
              <c:numCache>
                <c:formatCode>0%</c:formatCode>
                <c:ptCount val="18"/>
                <c:pt idx="0">
                  <c:v>-1</c:v>
                </c:pt>
                <c:pt idx="1">
                  <c:v>0.5</c:v>
                </c:pt>
                <c:pt idx="2">
                  <c:v>-1</c:v>
                </c:pt>
                <c:pt idx="3">
                  <c:v>-1</c:v>
                </c:pt>
                <c:pt idx="4">
                  <c:v>0.22222222222222221</c:v>
                </c:pt>
                <c:pt idx="5">
                  <c:v>0.5</c:v>
                </c:pt>
                <c:pt idx="6">
                  <c:v>-1</c:v>
                </c:pt>
                <c:pt idx="7">
                  <c:v>0.41666666666666669</c:v>
                </c:pt>
                <c:pt idx="8">
                  <c:v>0</c:v>
                </c:pt>
                <c:pt idx="9">
                  <c:v>0.2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详细分析!$CC$13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详细分析!$CD$13:$CU$13</c:f>
              <c:numCache>
                <c:formatCode>0%</c:formatCode>
                <c:ptCount val="18"/>
                <c:pt idx="0">
                  <c:v>1</c:v>
                </c:pt>
                <c:pt idx="1">
                  <c:v>-1</c:v>
                </c:pt>
                <c:pt idx="2">
                  <c:v>0.33333333333333331</c:v>
                </c:pt>
                <c:pt idx="3">
                  <c:v>0</c:v>
                </c:pt>
                <c:pt idx="4">
                  <c:v>0.2857142857142857</c:v>
                </c:pt>
                <c:pt idx="5">
                  <c:v>0.72413793103448276</c:v>
                </c:pt>
                <c:pt idx="6">
                  <c:v>0.75</c:v>
                </c:pt>
                <c:pt idx="7">
                  <c:v>0.5</c:v>
                </c:pt>
                <c:pt idx="8">
                  <c:v>0</c:v>
                </c:pt>
                <c:pt idx="9">
                  <c:v>0.75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-1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详细分析!$CC$14</c:f>
              <c:strCache>
                <c:ptCount val="1"/>
                <c:pt idx="0">
                  <c:v>陈昱伟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详细分析!$CD$14:$CU$14</c:f>
              <c:numCache>
                <c:formatCode>0%</c:formatCode>
                <c:ptCount val="18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0.4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0.75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0.625</c:v>
                </c:pt>
                <c:pt idx="15">
                  <c:v>0.66666666666666663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详细分析!$CC$15</c:f>
              <c:strCache>
                <c:ptCount val="1"/>
                <c:pt idx="0">
                  <c:v>戴银华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详细分析!$CD$15:$CU$15</c:f>
              <c:numCache>
                <c:formatCode>0%</c:formatCode>
                <c:ptCount val="18"/>
                <c:pt idx="0">
                  <c:v>0.33333333333333331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详细分析!$CC$16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详细分析!$CD$16:$CU$16</c:f>
              <c:numCache>
                <c:formatCode>0%</c:formatCode>
                <c:ptCount val="18"/>
                <c:pt idx="0">
                  <c:v>0.4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0.66666666666666663</c:v>
                </c:pt>
                <c:pt idx="7">
                  <c:v>0.25</c:v>
                </c:pt>
                <c:pt idx="8">
                  <c:v>1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0.625</c:v>
                </c:pt>
                <c:pt idx="13">
                  <c:v>-1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详细分析!$CC$17</c:f>
              <c:strCache>
                <c:ptCount val="1"/>
                <c:pt idx="0">
                  <c:v>梅小鱼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详细分析!$CD$17:$CU$17</c:f>
              <c:numCache>
                <c:formatCode>0%</c:formatCode>
                <c:ptCount val="18"/>
                <c:pt idx="0">
                  <c:v>0.63636363636363635</c:v>
                </c:pt>
                <c:pt idx="1">
                  <c:v>0.8571428571428571</c:v>
                </c:pt>
                <c:pt idx="2">
                  <c:v>-1</c:v>
                </c:pt>
                <c:pt idx="3">
                  <c:v>0</c:v>
                </c:pt>
                <c:pt idx="4">
                  <c:v>0.33333333333333331</c:v>
                </c:pt>
                <c:pt idx="5">
                  <c:v>0.66666666666666663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</c:v>
                </c:pt>
                <c:pt idx="9">
                  <c:v>0</c:v>
                </c:pt>
                <c:pt idx="10">
                  <c:v>-1</c:v>
                </c:pt>
                <c:pt idx="11">
                  <c:v>-1</c:v>
                </c:pt>
                <c:pt idx="12">
                  <c:v>0.66666666666666663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详细分析!$CC$18</c:f>
              <c:strCache>
                <c:ptCount val="1"/>
                <c:pt idx="0">
                  <c:v>司思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详细分析!$CD$18:$CU$18</c:f>
              <c:numCache>
                <c:formatCode>0%</c:formatCode>
                <c:ptCount val="18"/>
                <c:pt idx="0">
                  <c:v>-1</c:v>
                </c:pt>
                <c:pt idx="1">
                  <c:v>0.625</c:v>
                </c:pt>
                <c:pt idx="2">
                  <c:v>-1</c:v>
                </c:pt>
                <c:pt idx="3">
                  <c:v>0.33333333333333331</c:v>
                </c:pt>
                <c:pt idx="4">
                  <c:v>0</c:v>
                </c:pt>
                <c:pt idx="5">
                  <c:v>1</c:v>
                </c:pt>
                <c:pt idx="6">
                  <c:v>0.33333333333333331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详细分析!$CC$19</c:f>
              <c:strCache>
                <c:ptCount val="1"/>
                <c:pt idx="0">
                  <c:v>梅挂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详细分析!$CD$19:$CU$19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</c:v>
                </c:pt>
                <c:pt idx="15">
                  <c:v>-1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1519504"/>
        <c:axId val="401221832"/>
      </c:lineChart>
      <c:catAx>
        <c:axId val="19151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1221832"/>
        <c:crosses val="autoZero"/>
        <c:auto val="1"/>
        <c:lblAlgn val="ctr"/>
        <c:lblOffset val="100"/>
        <c:noMultiLvlLbl val="0"/>
      </c:catAx>
      <c:valAx>
        <c:axId val="4012218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9151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场均净胜分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详细分析!$CW$2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详细分析!$CX$2:$DO$2</c:f>
              <c:numCache>
                <c:formatCode>0_ </c:formatCode>
                <c:ptCount val="18"/>
                <c:pt idx="0">
                  <c:v>0</c:v>
                </c:pt>
                <c:pt idx="1">
                  <c:v>4.5</c:v>
                </c:pt>
                <c:pt idx="2">
                  <c:v>-7</c:v>
                </c:pt>
                <c:pt idx="3">
                  <c:v>-0.6</c:v>
                </c:pt>
                <c:pt idx="4">
                  <c:v>1</c:v>
                </c:pt>
                <c:pt idx="5">
                  <c:v>-2.5</c:v>
                </c:pt>
                <c:pt idx="6">
                  <c:v>9.25</c:v>
                </c:pt>
                <c:pt idx="7">
                  <c:v>1</c:v>
                </c:pt>
                <c:pt idx="8">
                  <c:v>0</c:v>
                </c:pt>
                <c:pt idx="9">
                  <c:v>-1.6</c:v>
                </c:pt>
                <c:pt idx="10">
                  <c:v>-4</c:v>
                </c:pt>
                <c:pt idx="11">
                  <c:v>5</c:v>
                </c:pt>
                <c:pt idx="12">
                  <c:v>0</c:v>
                </c:pt>
                <c:pt idx="13">
                  <c:v>-3</c:v>
                </c:pt>
                <c:pt idx="14">
                  <c:v>-0.2</c:v>
                </c:pt>
                <c:pt idx="15">
                  <c:v>1.7272727272727273</c:v>
                </c:pt>
                <c:pt idx="16">
                  <c:v>-2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详细分析!$CW$3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详细分析!$CX$3:$DO$3</c:f>
              <c:numCache>
                <c:formatCode>0_ </c:formatCode>
                <c:ptCount val="18"/>
                <c:pt idx="0">
                  <c:v>4.5</c:v>
                </c:pt>
                <c:pt idx="1">
                  <c:v>0</c:v>
                </c:pt>
                <c:pt idx="2">
                  <c:v>-5.125</c:v>
                </c:pt>
                <c:pt idx="3">
                  <c:v>1.8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1.6923076923076923</c:v>
                </c:pt>
                <c:pt idx="8">
                  <c:v>-2.6666666666666665</c:v>
                </c:pt>
                <c:pt idx="9">
                  <c:v>4.5</c:v>
                </c:pt>
                <c:pt idx="10">
                  <c:v>0.3</c:v>
                </c:pt>
                <c:pt idx="11">
                  <c:v>-7.333333333333333</c:v>
                </c:pt>
                <c:pt idx="12">
                  <c:v>-4</c:v>
                </c:pt>
                <c:pt idx="13">
                  <c:v>-8</c:v>
                </c:pt>
                <c:pt idx="14">
                  <c:v>5.5</c:v>
                </c:pt>
                <c:pt idx="15">
                  <c:v>4.5714285714285712</c:v>
                </c:pt>
                <c:pt idx="16">
                  <c:v>3.375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详细分析!$CW$4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详细分析!$CX$4:$DO$4</c:f>
              <c:numCache>
                <c:formatCode>0_ </c:formatCode>
                <c:ptCount val="18"/>
                <c:pt idx="0">
                  <c:v>-7</c:v>
                </c:pt>
                <c:pt idx="1">
                  <c:v>-5.125</c:v>
                </c:pt>
                <c:pt idx="2">
                  <c:v>0</c:v>
                </c:pt>
                <c:pt idx="3">
                  <c:v>-11</c:v>
                </c:pt>
                <c:pt idx="4">
                  <c:v>2</c:v>
                </c:pt>
                <c:pt idx="5">
                  <c:v>2.2222222222222223</c:v>
                </c:pt>
                <c:pt idx="6">
                  <c:v>1.5</c:v>
                </c:pt>
                <c:pt idx="7">
                  <c:v>-6.6</c:v>
                </c:pt>
                <c:pt idx="8">
                  <c:v>0</c:v>
                </c:pt>
                <c:pt idx="9">
                  <c:v>-8.5</c:v>
                </c:pt>
                <c:pt idx="10">
                  <c:v>-9.3333333333333339</c:v>
                </c:pt>
                <c:pt idx="11">
                  <c:v>-4.333333333333333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-7</c:v>
                </c:pt>
                <c:pt idx="16">
                  <c:v>-17</c:v>
                </c:pt>
                <c:pt idx="17">
                  <c:v>-6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详细分析!$CW$5</c:f>
              <c:strCache>
                <c:ptCount val="1"/>
                <c:pt idx="0">
                  <c:v>龙明宣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详细分析!$CX$5:$DO$5</c:f>
              <c:numCache>
                <c:formatCode>0_ </c:formatCode>
                <c:ptCount val="18"/>
                <c:pt idx="0">
                  <c:v>-0.6</c:v>
                </c:pt>
                <c:pt idx="1">
                  <c:v>1.8</c:v>
                </c:pt>
                <c:pt idx="2">
                  <c:v>-11</c:v>
                </c:pt>
                <c:pt idx="3">
                  <c:v>0</c:v>
                </c:pt>
                <c:pt idx="4">
                  <c:v>-5.666666666666667</c:v>
                </c:pt>
                <c:pt idx="5">
                  <c:v>-1.2</c:v>
                </c:pt>
                <c:pt idx="6">
                  <c:v>-4.75</c:v>
                </c:pt>
                <c:pt idx="7">
                  <c:v>-0.33333333333333331</c:v>
                </c:pt>
                <c:pt idx="8">
                  <c:v>-4.5714285714285712</c:v>
                </c:pt>
                <c:pt idx="9">
                  <c:v>-2.6666666666666665</c:v>
                </c:pt>
                <c:pt idx="10">
                  <c:v>-14</c:v>
                </c:pt>
                <c:pt idx="11">
                  <c:v>0</c:v>
                </c:pt>
                <c:pt idx="12">
                  <c:v>-5.4</c:v>
                </c:pt>
                <c:pt idx="13">
                  <c:v>-8</c:v>
                </c:pt>
                <c:pt idx="14">
                  <c:v>0</c:v>
                </c:pt>
                <c:pt idx="15">
                  <c:v>0</c:v>
                </c:pt>
                <c:pt idx="16">
                  <c:v>-0.66666666666666663</c:v>
                </c:pt>
                <c:pt idx="1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详细分析!$CW$6</c:f>
              <c:strCache>
                <c:ptCount val="1"/>
                <c:pt idx="0">
                  <c:v>孙晓光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详细分析!$CX$6:$DO$6</c:f>
              <c:numCache>
                <c:formatCode>0_ </c:formatCode>
                <c:ptCount val="18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-5.666666666666667</c:v>
                </c:pt>
                <c:pt idx="4">
                  <c:v>0</c:v>
                </c:pt>
                <c:pt idx="5">
                  <c:v>7</c:v>
                </c:pt>
                <c:pt idx="6">
                  <c:v>11.5</c:v>
                </c:pt>
                <c:pt idx="7">
                  <c:v>1.6666666666666667</c:v>
                </c:pt>
                <c:pt idx="8">
                  <c:v>2</c:v>
                </c:pt>
                <c:pt idx="9">
                  <c:v>0</c:v>
                </c:pt>
                <c:pt idx="10">
                  <c:v>-3</c:v>
                </c:pt>
                <c:pt idx="11">
                  <c:v>-1.2857142857142858</c:v>
                </c:pt>
                <c:pt idx="12">
                  <c:v>0</c:v>
                </c:pt>
                <c:pt idx="13">
                  <c:v>0</c:v>
                </c:pt>
                <c:pt idx="14">
                  <c:v>14</c:v>
                </c:pt>
                <c:pt idx="15">
                  <c:v>-4.666666666666667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详细分析!$CW$7</c:f>
              <c:strCache>
                <c:ptCount val="1"/>
                <c:pt idx="0">
                  <c:v>李辉军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详细分析!$CX$7:$DO$7</c:f>
              <c:numCache>
                <c:formatCode>0_ </c:formatCode>
                <c:ptCount val="18"/>
                <c:pt idx="0">
                  <c:v>-2.5</c:v>
                </c:pt>
                <c:pt idx="1">
                  <c:v>3</c:v>
                </c:pt>
                <c:pt idx="2">
                  <c:v>2.2222222222222223</c:v>
                </c:pt>
                <c:pt idx="3">
                  <c:v>-1.2</c:v>
                </c:pt>
                <c:pt idx="4">
                  <c:v>7</c:v>
                </c:pt>
                <c:pt idx="5">
                  <c:v>0</c:v>
                </c:pt>
                <c:pt idx="6">
                  <c:v>3.1111111111111112</c:v>
                </c:pt>
                <c:pt idx="7">
                  <c:v>7</c:v>
                </c:pt>
                <c:pt idx="8">
                  <c:v>0</c:v>
                </c:pt>
                <c:pt idx="9">
                  <c:v>7.333333333333333</c:v>
                </c:pt>
                <c:pt idx="10">
                  <c:v>3</c:v>
                </c:pt>
                <c:pt idx="11">
                  <c:v>3.1724137931034484</c:v>
                </c:pt>
                <c:pt idx="12">
                  <c:v>2.5</c:v>
                </c:pt>
                <c:pt idx="13">
                  <c:v>0</c:v>
                </c:pt>
                <c:pt idx="14">
                  <c:v>7.6</c:v>
                </c:pt>
                <c:pt idx="15">
                  <c:v>3</c:v>
                </c:pt>
                <c:pt idx="16">
                  <c:v>6.25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详细分析!$CW$8</c:f>
              <c:strCache>
                <c:ptCount val="1"/>
                <c:pt idx="0">
                  <c:v>尹衍锋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详细分析!$CX$8:$DO$8</c:f>
              <c:numCache>
                <c:formatCode>0_ </c:formatCode>
                <c:ptCount val="18"/>
                <c:pt idx="0">
                  <c:v>9.25</c:v>
                </c:pt>
                <c:pt idx="1">
                  <c:v>3</c:v>
                </c:pt>
                <c:pt idx="2">
                  <c:v>1.5</c:v>
                </c:pt>
                <c:pt idx="3">
                  <c:v>-4.75</c:v>
                </c:pt>
                <c:pt idx="4">
                  <c:v>11.5</c:v>
                </c:pt>
                <c:pt idx="5">
                  <c:v>3.1111111111111112</c:v>
                </c:pt>
                <c:pt idx="6">
                  <c:v>-3</c:v>
                </c:pt>
                <c:pt idx="7">
                  <c:v>1.2222222222222223</c:v>
                </c:pt>
                <c:pt idx="8">
                  <c:v>-11</c:v>
                </c:pt>
                <c:pt idx="9">
                  <c:v>1.75</c:v>
                </c:pt>
                <c:pt idx="10">
                  <c:v>-7</c:v>
                </c:pt>
                <c:pt idx="11">
                  <c:v>1</c:v>
                </c:pt>
                <c:pt idx="12">
                  <c:v>6</c:v>
                </c:pt>
                <c:pt idx="13">
                  <c:v>-4.5</c:v>
                </c:pt>
                <c:pt idx="14">
                  <c:v>1.6666666666666667</c:v>
                </c:pt>
                <c:pt idx="15">
                  <c:v>-3.3333333333333335</c:v>
                </c:pt>
                <c:pt idx="16">
                  <c:v>-3.5</c:v>
                </c:pt>
                <c:pt idx="17">
                  <c:v>8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详细分析!$CW$9</c:f>
              <c:strCache>
                <c:ptCount val="1"/>
                <c:pt idx="0">
                  <c:v>罗剑民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详细分析!$CX$9:$DO$9</c:f>
              <c:numCache>
                <c:formatCode>0_ </c:formatCode>
                <c:ptCount val="18"/>
                <c:pt idx="0">
                  <c:v>1</c:v>
                </c:pt>
                <c:pt idx="1">
                  <c:v>1.6923076923076923</c:v>
                </c:pt>
                <c:pt idx="2">
                  <c:v>-6.6</c:v>
                </c:pt>
                <c:pt idx="3">
                  <c:v>-0.33333333333333331</c:v>
                </c:pt>
                <c:pt idx="4">
                  <c:v>1.6666666666666667</c:v>
                </c:pt>
                <c:pt idx="5">
                  <c:v>7</c:v>
                </c:pt>
                <c:pt idx="6">
                  <c:v>1.2222222222222223</c:v>
                </c:pt>
                <c:pt idx="7">
                  <c:v>0</c:v>
                </c:pt>
                <c:pt idx="8">
                  <c:v>-1.75</c:v>
                </c:pt>
                <c:pt idx="9">
                  <c:v>3.5</c:v>
                </c:pt>
                <c:pt idx="10">
                  <c:v>-3</c:v>
                </c:pt>
                <c:pt idx="11">
                  <c:v>0</c:v>
                </c:pt>
                <c:pt idx="12">
                  <c:v>2.25</c:v>
                </c:pt>
                <c:pt idx="13">
                  <c:v>0</c:v>
                </c:pt>
                <c:pt idx="14">
                  <c:v>-3.75</c:v>
                </c:pt>
                <c:pt idx="15">
                  <c:v>-1.6666666666666667</c:v>
                </c:pt>
                <c:pt idx="16">
                  <c:v>0</c:v>
                </c:pt>
                <c:pt idx="17">
                  <c:v>-3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详细分析!$CW$10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详细分析!$CX$10:$DO$10</c:f>
              <c:numCache>
                <c:formatCode>0_ </c:formatCode>
                <c:ptCount val="18"/>
                <c:pt idx="0">
                  <c:v>0</c:v>
                </c:pt>
                <c:pt idx="1">
                  <c:v>-2.6666666666666665</c:v>
                </c:pt>
                <c:pt idx="2">
                  <c:v>0</c:v>
                </c:pt>
                <c:pt idx="3">
                  <c:v>-4.5714285714285712</c:v>
                </c:pt>
                <c:pt idx="4">
                  <c:v>2</c:v>
                </c:pt>
                <c:pt idx="5">
                  <c:v>0</c:v>
                </c:pt>
                <c:pt idx="6">
                  <c:v>-11</c:v>
                </c:pt>
                <c:pt idx="7">
                  <c:v>-1.75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-4</c:v>
                </c:pt>
                <c:pt idx="14">
                  <c:v>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详细分析!$CW$11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详细分析!$CX$11:$DO$11</c:f>
              <c:numCache>
                <c:formatCode>0_ </c:formatCode>
                <c:ptCount val="18"/>
                <c:pt idx="0">
                  <c:v>-1.6</c:v>
                </c:pt>
                <c:pt idx="1">
                  <c:v>4.5</c:v>
                </c:pt>
                <c:pt idx="2">
                  <c:v>-8.5</c:v>
                </c:pt>
                <c:pt idx="3">
                  <c:v>-2.6666666666666665</c:v>
                </c:pt>
                <c:pt idx="4">
                  <c:v>0</c:v>
                </c:pt>
                <c:pt idx="5">
                  <c:v>7.333333333333333</c:v>
                </c:pt>
                <c:pt idx="6">
                  <c:v>1.75</c:v>
                </c:pt>
                <c:pt idx="7">
                  <c:v>3.5</c:v>
                </c:pt>
                <c:pt idx="8">
                  <c:v>0</c:v>
                </c:pt>
                <c:pt idx="9">
                  <c:v>0</c:v>
                </c:pt>
                <c:pt idx="10">
                  <c:v>-6</c:v>
                </c:pt>
                <c:pt idx="11">
                  <c:v>5</c:v>
                </c:pt>
                <c:pt idx="12">
                  <c:v>3</c:v>
                </c:pt>
                <c:pt idx="13">
                  <c:v>0</c:v>
                </c:pt>
                <c:pt idx="14">
                  <c:v>-10.5</c:v>
                </c:pt>
                <c:pt idx="15">
                  <c:v>0</c:v>
                </c:pt>
                <c:pt idx="16">
                  <c:v>-8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详细分析!$CW$12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详细分析!$CX$12:$DO$12</c:f>
              <c:numCache>
                <c:formatCode>0_ </c:formatCode>
                <c:ptCount val="18"/>
                <c:pt idx="0">
                  <c:v>-4</c:v>
                </c:pt>
                <c:pt idx="1">
                  <c:v>0.3</c:v>
                </c:pt>
                <c:pt idx="2">
                  <c:v>-9.3333333333333339</c:v>
                </c:pt>
                <c:pt idx="3">
                  <c:v>-14</c:v>
                </c:pt>
                <c:pt idx="4">
                  <c:v>-3</c:v>
                </c:pt>
                <c:pt idx="5">
                  <c:v>3</c:v>
                </c:pt>
                <c:pt idx="6">
                  <c:v>-7</c:v>
                </c:pt>
                <c:pt idx="7">
                  <c:v>-3</c:v>
                </c:pt>
                <c:pt idx="8">
                  <c:v>0</c:v>
                </c:pt>
                <c:pt idx="9">
                  <c:v>-6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详细分析!$CW$13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详细分析!$CX$13:$DO$13</c:f>
              <c:numCache>
                <c:formatCode>0_ </c:formatCode>
                <c:ptCount val="18"/>
                <c:pt idx="0">
                  <c:v>5</c:v>
                </c:pt>
                <c:pt idx="1">
                  <c:v>-7.333333333333333</c:v>
                </c:pt>
                <c:pt idx="2">
                  <c:v>-4.333333333333333</c:v>
                </c:pt>
                <c:pt idx="3">
                  <c:v>0</c:v>
                </c:pt>
                <c:pt idx="4">
                  <c:v>-1.2857142857142858</c:v>
                </c:pt>
                <c:pt idx="5">
                  <c:v>3.1724137931034484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4</c:v>
                </c:pt>
                <c:pt idx="15">
                  <c:v>-9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详细分析!$CW$14</c:f>
              <c:strCache>
                <c:ptCount val="1"/>
                <c:pt idx="0">
                  <c:v>陈昱伟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详细分析!$CX$14:$DO$14</c:f>
              <c:numCache>
                <c:formatCode>0_ </c:formatCode>
                <c:ptCount val="18"/>
                <c:pt idx="0">
                  <c:v>0</c:v>
                </c:pt>
                <c:pt idx="1">
                  <c:v>-4</c:v>
                </c:pt>
                <c:pt idx="2">
                  <c:v>0</c:v>
                </c:pt>
                <c:pt idx="3">
                  <c:v>-5.4</c:v>
                </c:pt>
                <c:pt idx="4">
                  <c:v>0</c:v>
                </c:pt>
                <c:pt idx="5">
                  <c:v>2.5</c:v>
                </c:pt>
                <c:pt idx="6">
                  <c:v>6</c:v>
                </c:pt>
                <c:pt idx="7">
                  <c:v>2.25</c:v>
                </c:pt>
                <c:pt idx="8">
                  <c:v>4</c:v>
                </c:pt>
                <c:pt idx="9">
                  <c:v>3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3.75</c:v>
                </c:pt>
                <c:pt idx="15">
                  <c:v>2.3333333333333335</c:v>
                </c:pt>
                <c:pt idx="16">
                  <c:v>4.666666666666667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详细分析!$CW$15</c:f>
              <c:strCache>
                <c:ptCount val="1"/>
                <c:pt idx="0">
                  <c:v>戴银华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详细分析!$CX$15:$DO$15</c:f>
              <c:numCache>
                <c:formatCode>0_ </c:formatCode>
                <c:ptCount val="18"/>
                <c:pt idx="0">
                  <c:v>-3</c:v>
                </c:pt>
                <c:pt idx="1">
                  <c:v>-8</c:v>
                </c:pt>
                <c:pt idx="2">
                  <c:v>0</c:v>
                </c:pt>
                <c:pt idx="3">
                  <c:v>-8</c:v>
                </c:pt>
                <c:pt idx="4">
                  <c:v>0</c:v>
                </c:pt>
                <c:pt idx="5">
                  <c:v>0</c:v>
                </c:pt>
                <c:pt idx="6">
                  <c:v>-4.5</c:v>
                </c:pt>
                <c:pt idx="7">
                  <c:v>0</c:v>
                </c:pt>
                <c:pt idx="8">
                  <c:v>-4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详细分析!$CW$16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详细分析!$CX$16:$DO$16</c:f>
              <c:numCache>
                <c:formatCode>0_ </c:formatCode>
                <c:ptCount val="18"/>
                <c:pt idx="0">
                  <c:v>-0.2</c:v>
                </c:pt>
                <c:pt idx="1">
                  <c:v>5.5</c:v>
                </c:pt>
                <c:pt idx="2">
                  <c:v>0</c:v>
                </c:pt>
                <c:pt idx="3">
                  <c:v>0</c:v>
                </c:pt>
                <c:pt idx="4">
                  <c:v>14</c:v>
                </c:pt>
                <c:pt idx="5">
                  <c:v>7.6</c:v>
                </c:pt>
                <c:pt idx="6">
                  <c:v>1.6666666666666667</c:v>
                </c:pt>
                <c:pt idx="7">
                  <c:v>-3.75</c:v>
                </c:pt>
                <c:pt idx="8">
                  <c:v>8</c:v>
                </c:pt>
                <c:pt idx="9">
                  <c:v>-10.5</c:v>
                </c:pt>
                <c:pt idx="10">
                  <c:v>0</c:v>
                </c:pt>
                <c:pt idx="11">
                  <c:v>4</c:v>
                </c:pt>
                <c:pt idx="12">
                  <c:v>3.75</c:v>
                </c:pt>
                <c:pt idx="13">
                  <c:v>-13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-5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详细分析!$CW$17</c:f>
              <c:strCache>
                <c:ptCount val="1"/>
                <c:pt idx="0">
                  <c:v>梅小鱼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详细分析!$CX$17:$DO$17</c:f>
              <c:numCache>
                <c:formatCode>0_ </c:formatCode>
                <c:ptCount val="18"/>
                <c:pt idx="0">
                  <c:v>1.7272727272727273</c:v>
                </c:pt>
                <c:pt idx="1">
                  <c:v>4.5714285714285712</c:v>
                </c:pt>
                <c:pt idx="2">
                  <c:v>-7</c:v>
                </c:pt>
                <c:pt idx="3">
                  <c:v>0</c:v>
                </c:pt>
                <c:pt idx="4">
                  <c:v>-4.666666666666667</c:v>
                </c:pt>
                <c:pt idx="5">
                  <c:v>3</c:v>
                </c:pt>
                <c:pt idx="6">
                  <c:v>-3.3333333333333335</c:v>
                </c:pt>
                <c:pt idx="7">
                  <c:v>-1.6666666666666667</c:v>
                </c:pt>
                <c:pt idx="8">
                  <c:v>0</c:v>
                </c:pt>
                <c:pt idx="9">
                  <c:v>0</c:v>
                </c:pt>
                <c:pt idx="10">
                  <c:v>-9</c:v>
                </c:pt>
                <c:pt idx="11">
                  <c:v>-9</c:v>
                </c:pt>
                <c:pt idx="12">
                  <c:v>2.3333333333333335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-4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详细分析!$CW$18</c:f>
              <c:strCache>
                <c:ptCount val="1"/>
                <c:pt idx="0">
                  <c:v>司思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详细分析!$CX$18:$DO$18</c:f>
              <c:numCache>
                <c:formatCode>0_ </c:formatCode>
                <c:ptCount val="18"/>
                <c:pt idx="0">
                  <c:v>-2</c:v>
                </c:pt>
                <c:pt idx="1">
                  <c:v>3.375</c:v>
                </c:pt>
                <c:pt idx="2">
                  <c:v>-17</c:v>
                </c:pt>
                <c:pt idx="3">
                  <c:v>-0.66666666666666663</c:v>
                </c:pt>
                <c:pt idx="4">
                  <c:v>0</c:v>
                </c:pt>
                <c:pt idx="5">
                  <c:v>6.25</c:v>
                </c:pt>
                <c:pt idx="6">
                  <c:v>-3.5</c:v>
                </c:pt>
                <c:pt idx="7">
                  <c:v>0</c:v>
                </c:pt>
                <c:pt idx="8">
                  <c:v>0</c:v>
                </c:pt>
                <c:pt idx="9">
                  <c:v>-8</c:v>
                </c:pt>
                <c:pt idx="10">
                  <c:v>0</c:v>
                </c:pt>
                <c:pt idx="11">
                  <c:v>0</c:v>
                </c:pt>
                <c:pt idx="12">
                  <c:v>4.666666666666667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详细分析!$CW$19</c:f>
              <c:strCache>
                <c:ptCount val="1"/>
                <c:pt idx="0">
                  <c:v>梅挂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详细分析!$CX$19:$DO$19</c:f>
              <c:numCache>
                <c:formatCode>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-6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-5</c:v>
                </c:pt>
                <c:pt idx="15">
                  <c:v>-4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01222616"/>
        <c:axId val="401223008"/>
      </c:lineChart>
      <c:catAx>
        <c:axId val="40122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1223008"/>
        <c:crosses val="autoZero"/>
        <c:auto val="1"/>
        <c:lblAlgn val="ctr"/>
        <c:lblOffset val="100"/>
        <c:noMultiLvlLbl val="0"/>
      </c:catAx>
      <c:valAx>
        <c:axId val="40122300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crossAx val="401222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444261</xdr:colOff>
      <xdr:row>0</xdr:row>
      <xdr:rowOff>30732</xdr:rowOff>
    </xdr:from>
    <xdr:to>
      <xdr:col>22</xdr:col>
      <xdr:colOff>305520</xdr:colOff>
      <xdr:row>22</xdr:row>
      <xdr:rowOff>143774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427726</xdr:colOff>
      <xdr:row>23</xdr:row>
      <xdr:rowOff>164978</xdr:rowOff>
    </xdr:from>
    <xdr:to>
      <xdr:col>25</xdr:col>
      <xdr:colOff>431321</xdr:colOff>
      <xdr:row>57</xdr:row>
      <xdr:rowOff>53915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95249</xdr:colOff>
      <xdr:row>0</xdr:row>
      <xdr:rowOff>191937</xdr:rowOff>
    </xdr:from>
    <xdr:to>
      <xdr:col>42</xdr:col>
      <xdr:colOff>637995</xdr:colOff>
      <xdr:row>20</xdr:row>
      <xdr:rowOff>125801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36840</xdr:colOff>
      <xdr:row>22</xdr:row>
      <xdr:rowOff>48163</xdr:rowOff>
    </xdr:from>
    <xdr:to>
      <xdr:col>39</xdr:col>
      <xdr:colOff>467263</xdr:colOff>
      <xdr:row>44</xdr:row>
      <xdr:rowOff>80871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</xdr:row>
          <xdr:rowOff>28575</xdr:rowOff>
        </xdr:from>
        <xdr:to>
          <xdr:col>8</xdr:col>
          <xdr:colOff>466725</xdr:colOff>
          <xdr:row>3</xdr:row>
          <xdr:rowOff>47625</xdr:rowOff>
        </xdr:to>
        <xdr:sp macro="" textlink="">
          <xdr:nvSpPr>
            <xdr:cNvPr id="1037" name="CommandButton1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47625</xdr:rowOff>
        </xdr:from>
        <xdr:to>
          <xdr:col>6</xdr:col>
          <xdr:colOff>438150</xdr:colOff>
          <xdr:row>2</xdr:row>
          <xdr:rowOff>66675</xdr:rowOff>
        </xdr:to>
        <xdr:sp macro="" textlink="">
          <xdr:nvSpPr>
            <xdr:cNvPr id="3082" name="CommandButton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28574</xdr:rowOff>
    </xdr:from>
    <xdr:to>
      <xdr:col>19</xdr:col>
      <xdr:colOff>9525</xdr:colOff>
      <xdr:row>45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28575</xdr:colOff>
      <xdr:row>20</xdr:row>
      <xdr:rowOff>38100</xdr:rowOff>
    </xdr:from>
    <xdr:to>
      <xdr:col>39</xdr:col>
      <xdr:colOff>28575</xdr:colOff>
      <xdr:row>46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33337</xdr:colOff>
      <xdr:row>19</xdr:row>
      <xdr:rowOff>76200</xdr:rowOff>
    </xdr:from>
    <xdr:to>
      <xdr:col>58</xdr:col>
      <xdr:colOff>381000</xdr:colOff>
      <xdr:row>45</xdr:row>
      <xdr:rowOff>104776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76199</xdr:colOff>
      <xdr:row>19</xdr:row>
      <xdr:rowOff>66675</xdr:rowOff>
    </xdr:from>
    <xdr:to>
      <xdr:col>79</xdr:col>
      <xdr:colOff>9525</xdr:colOff>
      <xdr:row>45</xdr:row>
      <xdr:rowOff>47625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80</xdr:col>
      <xdr:colOff>0</xdr:colOff>
      <xdr:row>19</xdr:row>
      <xdr:rowOff>28575</xdr:rowOff>
    </xdr:from>
    <xdr:to>
      <xdr:col>99</xdr:col>
      <xdr:colOff>9525</xdr:colOff>
      <xdr:row>45</xdr:row>
      <xdr:rowOff>66675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99</xdr:col>
      <xdr:colOff>485774</xdr:colOff>
      <xdr:row>19</xdr:row>
      <xdr:rowOff>95249</xdr:rowOff>
    </xdr:from>
    <xdr:to>
      <xdr:col>119</xdr:col>
      <xdr:colOff>9524</xdr:colOff>
      <xdr:row>45</xdr:row>
      <xdr:rowOff>142874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06"/>
  <sheetViews>
    <sheetView topLeftCell="A73" zoomScale="106" zoomScaleNormal="106" workbookViewId="0">
      <selection activeCell="D21" sqref="D21"/>
    </sheetView>
  </sheetViews>
  <sheetFormatPr defaultRowHeight="13.5" x14ac:dyDescent="0.15"/>
  <cols>
    <col min="1" max="1" width="10.125" style="6" customWidth="1"/>
    <col min="2" max="2" width="3.875" customWidth="1"/>
    <col min="3" max="3" width="1.75" customWidth="1"/>
    <col min="4" max="4" width="15.375" bestFit="1" customWidth="1"/>
    <col min="5" max="5" width="14.125" style="3" bestFit="1" customWidth="1"/>
    <col min="6" max="7" width="5.75" style="3" bestFit="1" customWidth="1"/>
    <col min="8" max="8" width="8.5" style="3" bestFit="1" customWidth="1"/>
    <col min="9" max="11" width="7.75" style="3" bestFit="1" customWidth="1"/>
    <col min="12" max="12" width="2.5" customWidth="1"/>
    <col min="22" max="22" width="13.5" customWidth="1"/>
    <col min="24" max="24" width="14" customWidth="1"/>
    <col min="25" max="25" width="11.625" style="3" customWidth="1"/>
    <col min="26" max="26" width="11.125" style="3" customWidth="1"/>
    <col min="27" max="27" width="10.25" style="3" customWidth="1"/>
    <col min="28" max="28" width="11" style="3" customWidth="1"/>
    <col min="29" max="29" width="12.375" style="3" customWidth="1"/>
    <col min="30" max="31" width="12" style="3" customWidth="1"/>
  </cols>
  <sheetData>
    <row r="1" spans="1:31" ht="18.75" x14ac:dyDescent="0.15">
      <c r="A1" s="4" t="s">
        <v>20</v>
      </c>
      <c r="B1" s="1">
        <f>COUNTA(A:A)</f>
        <v>19</v>
      </c>
      <c r="C1" s="1"/>
      <c r="D1" s="7" t="s">
        <v>21</v>
      </c>
      <c r="E1" s="4" t="s">
        <v>13</v>
      </c>
      <c r="F1" s="4" t="s">
        <v>14</v>
      </c>
      <c r="G1" s="4" t="s">
        <v>15</v>
      </c>
      <c r="H1" s="4" t="s">
        <v>18</v>
      </c>
      <c r="I1" s="4" t="s">
        <v>16</v>
      </c>
      <c r="J1" s="4" t="s">
        <v>17</v>
      </c>
      <c r="K1" s="4" t="s">
        <v>19</v>
      </c>
      <c r="X1" s="7" t="s">
        <v>22</v>
      </c>
      <c r="Y1" s="13" t="s">
        <v>13</v>
      </c>
      <c r="Z1" s="13" t="s">
        <v>14</v>
      </c>
      <c r="AA1" s="13" t="s">
        <v>15</v>
      </c>
      <c r="AB1" s="13" t="s">
        <v>70</v>
      </c>
      <c r="AC1" s="13" t="s">
        <v>16</v>
      </c>
      <c r="AD1" s="13" t="s">
        <v>71</v>
      </c>
      <c r="AE1" s="13" t="s">
        <v>19</v>
      </c>
    </row>
    <row r="2" spans="1:31" x14ac:dyDescent="0.15">
      <c r="A2" s="6" t="s">
        <v>1</v>
      </c>
      <c r="E2" s="3" t="s">
        <v>77</v>
      </c>
      <c r="F2" s="3">
        <v>6</v>
      </c>
      <c r="G2" s="3">
        <v>0</v>
      </c>
      <c r="H2" s="5">
        <f t="shared" ref="H2:H33" si="0">IF(AND(K2&gt;0, ISNUMBER(F2)), F2/K2, 0)</f>
        <v>1</v>
      </c>
      <c r="I2" s="3">
        <v>44</v>
      </c>
      <c r="J2" s="3">
        <v>0</v>
      </c>
      <c r="K2" s="3">
        <f t="shared" ref="K2:K33" si="1">F2+G2</f>
        <v>6</v>
      </c>
      <c r="Y2" s="3" t="s">
        <v>35</v>
      </c>
      <c r="Z2" s="3" t="s">
        <v>66</v>
      </c>
      <c r="AA2" s="3">
        <v>1</v>
      </c>
      <c r="AB2" s="5">
        <v>2</v>
      </c>
      <c r="AC2" s="3">
        <v>12</v>
      </c>
      <c r="AD2" s="3">
        <v>3</v>
      </c>
      <c r="AE2" s="3">
        <v>-16</v>
      </c>
    </row>
    <row r="3" spans="1:31" x14ac:dyDescent="0.15">
      <c r="A3" s="6" t="s">
        <v>2</v>
      </c>
      <c r="E3" s="3" t="s">
        <v>94</v>
      </c>
      <c r="F3" s="3">
        <v>5</v>
      </c>
      <c r="G3" s="3">
        <v>0</v>
      </c>
      <c r="H3" s="5">
        <f t="shared" si="0"/>
        <v>1</v>
      </c>
      <c r="I3" s="3">
        <v>38</v>
      </c>
      <c r="J3" s="3">
        <v>0</v>
      </c>
      <c r="K3" s="3">
        <f t="shared" si="1"/>
        <v>5</v>
      </c>
      <c r="Y3" s="3" t="s">
        <v>72</v>
      </c>
      <c r="Z3" s="3" t="s">
        <v>65</v>
      </c>
      <c r="AA3" s="3">
        <v>0</v>
      </c>
      <c r="AB3" s="5">
        <v>1</v>
      </c>
      <c r="AC3" s="3">
        <v>18</v>
      </c>
      <c r="AD3" s="3">
        <v>0</v>
      </c>
      <c r="AE3" s="3">
        <v>-3</v>
      </c>
    </row>
    <row r="4" spans="1:31" x14ac:dyDescent="0.15">
      <c r="A4" s="6" t="s">
        <v>3</v>
      </c>
      <c r="E4" s="3" t="s">
        <v>123</v>
      </c>
      <c r="F4" s="3">
        <v>4</v>
      </c>
      <c r="G4" s="3">
        <v>0</v>
      </c>
      <c r="H4" s="5">
        <f t="shared" si="0"/>
        <v>1</v>
      </c>
      <c r="I4" s="3">
        <v>37</v>
      </c>
      <c r="J4" s="3">
        <v>0</v>
      </c>
      <c r="K4" s="3">
        <f t="shared" si="1"/>
        <v>4</v>
      </c>
      <c r="Y4" s="3" t="s">
        <v>34</v>
      </c>
      <c r="Z4" s="3" t="s">
        <v>69</v>
      </c>
      <c r="AA4" s="3">
        <v>0</v>
      </c>
      <c r="AB4" s="5">
        <v>1</v>
      </c>
      <c r="AC4" s="3">
        <v>3</v>
      </c>
      <c r="AD4" s="3">
        <v>0</v>
      </c>
      <c r="AE4" s="3">
        <v>-11</v>
      </c>
    </row>
    <row r="5" spans="1:31" x14ac:dyDescent="0.15">
      <c r="A5" s="6" t="s">
        <v>36</v>
      </c>
      <c r="E5" s="3" t="s">
        <v>114</v>
      </c>
      <c r="F5" s="3">
        <v>4</v>
      </c>
      <c r="G5" s="3">
        <v>0</v>
      </c>
      <c r="H5" s="5">
        <f t="shared" si="0"/>
        <v>1</v>
      </c>
      <c r="I5" s="3">
        <v>25</v>
      </c>
      <c r="J5" s="3">
        <v>0</v>
      </c>
      <c r="K5" s="3">
        <f t="shared" si="1"/>
        <v>4</v>
      </c>
      <c r="Y5" s="3" t="s">
        <v>73</v>
      </c>
      <c r="Z5" s="3" t="s">
        <v>67</v>
      </c>
      <c r="AA5" s="3">
        <v>2</v>
      </c>
      <c r="AB5" s="5">
        <v>1</v>
      </c>
      <c r="AC5" s="3">
        <v>0</v>
      </c>
      <c r="AD5" s="3">
        <v>18</v>
      </c>
      <c r="AE5" s="3">
        <v>-3</v>
      </c>
    </row>
    <row r="6" spans="1:31" x14ac:dyDescent="0.15">
      <c r="A6" s="6" t="s">
        <v>37</v>
      </c>
      <c r="E6" s="3" t="s">
        <v>159</v>
      </c>
      <c r="F6" s="3">
        <v>3</v>
      </c>
      <c r="G6" s="3">
        <v>0</v>
      </c>
      <c r="H6" s="5">
        <f t="shared" si="0"/>
        <v>1</v>
      </c>
      <c r="I6" s="3">
        <v>15</v>
      </c>
      <c r="J6" s="3">
        <v>0</v>
      </c>
      <c r="K6" s="3">
        <f t="shared" si="1"/>
        <v>3</v>
      </c>
      <c r="Y6" s="3" t="s">
        <v>68</v>
      </c>
      <c r="Z6" s="3" t="s">
        <v>64</v>
      </c>
      <c r="AA6" s="3">
        <v>2</v>
      </c>
      <c r="AB6" s="5">
        <v>0</v>
      </c>
      <c r="AC6" s="3">
        <v>0</v>
      </c>
      <c r="AD6" s="3">
        <v>12</v>
      </c>
      <c r="AE6" s="3">
        <v>0</v>
      </c>
    </row>
    <row r="7" spans="1:31" x14ac:dyDescent="0.15">
      <c r="A7" s="6" t="s">
        <v>38</v>
      </c>
      <c r="E7" s="3" t="s">
        <v>92</v>
      </c>
      <c r="F7" s="3">
        <v>3</v>
      </c>
      <c r="G7" s="3">
        <v>0</v>
      </c>
      <c r="H7" s="5">
        <f t="shared" si="0"/>
        <v>1</v>
      </c>
      <c r="I7" s="3">
        <v>14</v>
      </c>
      <c r="J7" s="3">
        <v>0</v>
      </c>
      <c r="K7" s="3">
        <f t="shared" si="1"/>
        <v>3</v>
      </c>
      <c r="AB7" s="5"/>
    </row>
    <row r="8" spans="1:31" x14ac:dyDescent="0.15">
      <c r="A8" s="6" t="s">
        <v>39</v>
      </c>
      <c r="E8" s="3" t="s">
        <v>91</v>
      </c>
      <c r="F8" s="3">
        <v>2</v>
      </c>
      <c r="G8" s="3">
        <v>0</v>
      </c>
      <c r="H8" s="5">
        <f t="shared" si="0"/>
        <v>1</v>
      </c>
      <c r="I8" s="3">
        <v>23</v>
      </c>
      <c r="J8" s="3">
        <v>0</v>
      </c>
      <c r="K8" s="3">
        <f t="shared" si="1"/>
        <v>2</v>
      </c>
      <c r="AB8" s="5">
        <f t="shared" ref="AB8:AB26" si="2">IF(AND(AE8&gt;0, ISNUMBER(Z8)), Z8/AE8, 0)</f>
        <v>0</v>
      </c>
      <c r="AE8" s="3">
        <f t="shared" ref="AE8:AE26" si="3">Z8+AA8</f>
        <v>0</v>
      </c>
    </row>
    <row r="9" spans="1:31" x14ac:dyDescent="0.15">
      <c r="A9" s="6" t="s">
        <v>40</v>
      </c>
      <c r="E9" s="3" t="s">
        <v>157</v>
      </c>
      <c r="F9" s="3">
        <v>2</v>
      </c>
      <c r="G9" s="3">
        <v>0</v>
      </c>
      <c r="H9" s="5">
        <f t="shared" si="0"/>
        <v>1</v>
      </c>
      <c r="I9" s="3">
        <v>14</v>
      </c>
      <c r="J9" s="3">
        <v>0</v>
      </c>
      <c r="K9" s="3">
        <f t="shared" si="1"/>
        <v>2</v>
      </c>
      <c r="AB9" s="5">
        <f t="shared" si="2"/>
        <v>0</v>
      </c>
      <c r="AE9" s="3">
        <f t="shared" si="3"/>
        <v>0</v>
      </c>
    </row>
    <row r="10" spans="1:31" x14ac:dyDescent="0.15">
      <c r="A10" s="6" t="s">
        <v>4</v>
      </c>
      <c r="E10" s="3" t="s">
        <v>142</v>
      </c>
      <c r="F10" s="3">
        <v>2</v>
      </c>
      <c r="G10" s="3">
        <v>0</v>
      </c>
      <c r="H10" s="5">
        <f t="shared" si="0"/>
        <v>1</v>
      </c>
      <c r="I10" s="3">
        <v>11</v>
      </c>
      <c r="J10" s="3">
        <v>0</v>
      </c>
      <c r="K10" s="3">
        <f t="shared" si="1"/>
        <v>2</v>
      </c>
      <c r="AB10" s="5">
        <f t="shared" si="2"/>
        <v>0</v>
      </c>
      <c r="AE10" s="3">
        <f t="shared" si="3"/>
        <v>0</v>
      </c>
    </row>
    <row r="11" spans="1:31" x14ac:dyDescent="0.15">
      <c r="A11" s="6" t="s">
        <v>5</v>
      </c>
      <c r="E11" s="3" t="s">
        <v>76</v>
      </c>
      <c r="F11" s="3">
        <v>2</v>
      </c>
      <c r="G11" s="3">
        <v>0</v>
      </c>
      <c r="H11" s="5">
        <f t="shared" si="0"/>
        <v>1</v>
      </c>
      <c r="I11" s="3">
        <v>9</v>
      </c>
      <c r="J11" s="3">
        <v>0</v>
      </c>
      <c r="K11" s="3">
        <f t="shared" si="1"/>
        <v>2</v>
      </c>
      <c r="AB11" s="5">
        <f t="shared" si="2"/>
        <v>0</v>
      </c>
      <c r="AE11" s="3">
        <f t="shared" si="3"/>
        <v>0</v>
      </c>
    </row>
    <row r="12" spans="1:31" x14ac:dyDescent="0.15">
      <c r="A12" s="6" t="s">
        <v>6</v>
      </c>
      <c r="E12" s="3" t="s">
        <v>111</v>
      </c>
      <c r="F12" s="3">
        <v>2</v>
      </c>
      <c r="G12" s="3">
        <v>0</v>
      </c>
      <c r="H12" s="5">
        <f t="shared" si="0"/>
        <v>1</v>
      </c>
      <c r="I12" s="3">
        <v>7</v>
      </c>
      <c r="J12" s="3">
        <v>0</v>
      </c>
      <c r="K12" s="3">
        <f t="shared" si="1"/>
        <v>2</v>
      </c>
      <c r="AB12" s="5">
        <f t="shared" si="2"/>
        <v>0</v>
      </c>
      <c r="AE12" s="3">
        <f t="shared" si="3"/>
        <v>0</v>
      </c>
    </row>
    <row r="13" spans="1:31" x14ac:dyDescent="0.15">
      <c r="A13" s="6" t="s">
        <v>10</v>
      </c>
      <c r="E13" s="3" t="s">
        <v>116</v>
      </c>
      <c r="F13" s="3">
        <v>2</v>
      </c>
      <c r="G13" s="3">
        <v>0</v>
      </c>
      <c r="H13" s="5">
        <f t="shared" si="0"/>
        <v>1</v>
      </c>
      <c r="I13" s="3">
        <v>5</v>
      </c>
      <c r="J13" s="3">
        <v>0</v>
      </c>
      <c r="K13" s="3">
        <f t="shared" si="1"/>
        <v>2</v>
      </c>
      <c r="AB13" s="5">
        <f t="shared" si="2"/>
        <v>0</v>
      </c>
      <c r="AE13" s="3">
        <f t="shared" si="3"/>
        <v>0</v>
      </c>
    </row>
    <row r="14" spans="1:31" x14ac:dyDescent="0.15">
      <c r="A14" s="6" t="s">
        <v>41</v>
      </c>
      <c r="E14" s="3" t="s">
        <v>169</v>
      </c>
      <c r="F14" s="3">
        <v>1</v>
      </c>
      <c r="G14" s="3">
        <v>0</v>
      </c>
      <c r="H14" s="5">
        <f t="shared" si="0"/>
        <v>1</v>
      </c>
      <c r="I14" s="3">
        <v>14</v>
      </c>
      <c r="J14" s="3">
        <v>0</v>
      </c>
      <c r="K14" s="3">
        <f t="shared" si="1"/>
        <v>1</v>
      </c>
      <c r="AB14" s="5">
        <f t="shared" si="2"/>
        <v>0</v>
      </c>
      <c r="AE14" s="3">
        <f t="shared" si="3"/>
        <v>0</v>
      </c>
    </row>
    <row r="15" spans="1:31" x14ac:dyDescent="0.15">
      <c r="A15" s="6" t="s">
        <v>42</v>
      </c>
      <c r="E15" s="3" t="s">
        <v>132</v>
      </c>
      <c r="F15" s="3">
        <v>1</v>
      </c>
      <c r="G15" s="3">
        <v>0</v>
      </c>
      <c r="H15" s="5">
        <f t="shared" si="0"/>
        <v>1</v>
      </c>
      <c r="I15" s="3">
        <v>8</v>
      </c>
      <c r="J15" s="3">
        <v>0</v>
      </c>
      <c r="K15" s="3">
        <f t="shared" si="1"/>
        <v>1</v>
      </c>
      <c r="AB15" s="5">
        <f t="shared" si="2"/>
        <v>0</v>
      </c>
      <c r="AE15" s="3">
        <f t="shared" si="3"/>
        <v>0</v>
      </c>
    </row>
    <row r="16" spans="1:31" x14ac:dyDescent="0.15">
      <c r="A16" s="6" t="s">
        <v>29</v>
      </c>
      <c r="E16" s="3" t="s">
        <v>200</v>
      </c>
      <c r="F16" s="3">
        <v>1</v>
      </c>
      <c r="G16" s="3">
        <v>0</v>
      </c>
      <c r="H16" s="5">
        <f t="shared" si="0"/>
        <v>1</v>
      </c>
      <c r="I16" s="3">
        <v>8</v>
      </c>
      <c r="J16" s="3">
        <v>0</v>
      </c>
      <c r="K16" s="3">
        <f t="shared" si="1"/>
        <v>1</v>
      </c>
      <c r="AB16" s="5">
        <f t="shared" si="2"/>
        <v>0</v>
      </c>
      <c r="AE16" s="3">
        <f t="shared" si="3"/>
        <v>0</v>
      </c>
    </row>
    <row r="17" spans="1:31" x14ac:dyDescent="0.15">
      <c r="A17" s="6" t="s">
        <v>43</v>
      </c>
      <c r="E17" s="3" t="s">
        <v>201</v>
      </c>
      <c r="F17" s="3">
        <v>1</v>
      </c>
      <c r="G17" s="3">
        <v>0</v>
      </c>
      <c r="H17" s="5">
        <f t="shared" si="0"/>
        <v>1</v>
      </c>
      <c r="I17" s="3">
        <v>7</v>
      </c>
      <c r="J17" s="3">
        <v>0</v>
      </c>
      <c r="K17" s="3">
        <f t="shared" si="1"/>
        <v>1</v>
      </c>
      <c r="AB17" s="5">
        <f t="shared" si="2"/>
        <v>0</v>
      </c>
      <c r="AE17" s="3">
        <f t="shared" si="3"/>
        <v>0</v>
      </c>
    </row>
    <row r="18" spans="1:31" x14ac:dyDescent="0.15">
      <c r="A18" s="6" t="s">
        <v>44</v>
      </c>
      <c r="E18" s="3" t="s">
        <v>119</v>
      </c>
      <c r="F18" s="3">
        <v>1</v>
      </c>
      <c r="G18" s="3">
        <v>0</v>
      </c>
      <c r="H18" s="5">
        <f t="shared" si="0"/>
        <v>1</v>
      </c>
      <c r="I18" s="3">
        <v>6</v>
      </c>
      <c r="J18" s="3">
        <v>0</v>
      </c>
      <c r="K18" s="3">
        <f t="shared" si="1"/>
        <v>1</v>
      </c>
      <c r="AB18" s="5">
        <f t="shared" si="2"/>
        <v>0</v>
      </c>
      <c r="AE18" s="3">
        <f t="shared" si="3"/>
        <v>0</v>
      </c>
    </row>
    <row r="19" spans="1:31" x14ac:dyDescent="0.15">
      <c r="A19" s="6" t="s">
        <v>45</v>
      </c>
      <c r="E19" s="3" t="s">
        <v>167</v>
      </c>
      <c r="F19" s="3">
        <v>1</v>
      </c>
      <c r="G19" s="3">
        <v>0</v>
      </c>
      <c r="H19" s="5">
        <f t="shared" si="0"/>
        <v>1</v>
      </c>
      <c r="I19" s="3">
        <v>4</v>
      </c>
      <c r="J19" s="3">
        <v>0</v>
      </c>
      <c r="K19" s="3">
        <f t="shared" si="1"/>
        <v>1</v>
      </c>
      <c r="AB19" s="5">
        <f t="shared" si="2"/>
        <v>0</v>
      </c>
      <c r="AE19" s="3">
        <f t="shared" si="3"/>
        <v>0</v>
      </c>
    </row>
    <row r="20" spans="1:31" x14ac:dyDescent="0.15">
      <c r="E20" s="3" t="s">
        <v>136</v>
      </c>
      <c r="F20" s="3">
        <v>1</v>
      </c>
      <c r="G20" s="3">
        <v>0</v>
      </c>
      <c r="H20" s="5">
        <f t="shared" si="0"/>
        <v>1</v>
      </c>
      <c r="I20" s="3">
        <v>4</v>
      </c>
      <c r="J20" s="3">
        <v>0</v>
      </c>
      <c r="K20" s="3">
        <f t="shared" si="1"/>
        <v>1</v>
      </c>
      <c r="AB20" s="5">
        <f t="shared" si="2"/>
        <v>0</v>
      </c>
      <c r="AE20" s="3">
        <f t="shared" si="3"/>
        <v>0</v>
      </c>
    </row>
    <row r="21" spans="1:31" x14ac:dyDescent="0.15">
      <c r="E21" s="3" t="s">
        <v>104</v>
      </c>
      <c r="F21" s="3">
        <v>1</v>
      </c>
      <c r="G21" s="3">
        <v>0</v>
      </c>
      <c r="H21" s="5">
        <f t="shared" si="0"/>
        <v>1</v>
      </c>
      <c r="I21" s="3">
        <v>3</v>
      </c>
      <c r="J21" s="3">
        <v>0</v>
      </c>
      <c r="K21" s="3">
        <f t="shared" si="1"/>
        <v>1</v>
      </c>
      <c r="AB21" s="5">
        <f t="shared" si="2"/>
        <v>0</v>
      </c>
      <c r="AE21" s="3">
        <f t="shared" si="3"/>
        <v>0</v>
      </c>
    </row>
    <row r="22" spans="1:31" x14ac:dyDescent="0.15">
      <c r="E22" s="3" t="s">
        <v>171</v>
      </c>
      <c r="F22" s="3">
        <v>1</v>
      </c>
      <c r="G22" s="3">
        <v>0</v>
      </c>
      <c r="H22" s="5">
        <f t="shared" si="0"/>
        <v>1</v>
      </c>
      <c r="I22" s="3">
        <v>2</v>
      </c>
      <c r="J22" s="3">
        <v>0</v>
      </c>
      <c r="K22" s="3">
        <f t="shared" si="1"/>
        <v>1</v>
      </c>
      <c r="AB22" s="5">
        <f t="shared" si="2"/>
        <v>0</v>
      </c>
      <c r="AE22" s="3">
        <f t="shared" si="3"/>
        <v>0</v>
      </c>
    </row>
    <row r="23" spans="1:31" x14ac:dyDescent="0.15">
      <c r="E23" s="3" t="s">
        <v>115</v>
      </c>
      <c r="F23" s="3">
        <v>1</v>
      </c>
      <c r="G23" s="3">
        <v>0</v>
      </c>
      <c r="H23" s="5">
        <f t="shared" si="0"/>
        <v>1</v>
      </c>
      <c r="I23" s="3">
        <v>2</v>
      </c>
      <c r="J23" s="3">
        <v>0</v>
      </c>
      <c r="K23" s="3">
        <f t="shared" si="1"/>
        <v>1</v>
      </c>
      <c r="AB23" s="5">
        <f t="shared" si="2"/>
        <v>0</v>
      </c>
      <c r="AE23" s="3">
        <f t="shared" si="3"/>
        <v>0</v>
      </c>
    </row>
    <row r="24" spans="1:31" x14ac:dyDescent="0.15">
      <c r="E24" s="3" t="s">
        <v>176</v>
      </c>
      <c r="F24" s="3">
        <v>1</v>
      </c>
      <c r="G24" s="3">
        <v>0</v>
      </c>
      <c r="H24" s="5">
        <f t="shared" si="0"/>
        <v>1</v>
      </c>
      <c r="I24" s="3">
        <v>2</v>
      </c>
      <c r="J24" s="3">
        <v>0</v>
      </c>
      <c r="K24" s="3">
        <f t="shared" si="1"/>
        <v>1</v>
      </c>
      <c r="AB24" s="5">
        <f t="shared" si="2"/>
        <v>0</v>
      </c>
      <c r="AE24" s="3">
        <f t="shared" si="3"/>
        <v>0</v>
      </c>
    </row>
    <row r="25" spans="1:31" x14ac:dyDescent="0.15">
      <c r="E25" s="3" t="s">
        <v>79</v>
      </c>
      <c r="F25" s="3">
        <v>8</v>
      </c>
      <c r="G25" s="3">
        <v>1</v>
      </c>
      <c r="H25" s="5">
        <f t="shared" si="0"/>
        <v>0.88888888888888884</v>
      </c>
      <c r="I25" s="3">
        <v>33</v>
      </c>
      <c r="J25" s="3">
        <v>-5</v>
      </c>
      <c r="K25" s="3">
        <f t="shared" si="1"/>
        <v>9</v>
      </c>
      <c r="AB25" s="5">
        <f t="shared" si="2"/>
        <v>0</v>
      </c>
      <c r="AE25" s="3">
        <f t="shared" si="3"/>
        <v>0</v>
      </c>
    </row>
    <row r="26" spans="1:31" x14ac:dyDescent="0.15">
      <c r="E26" s="3" t="s">
        <v>81</v>
      </c>
      <c r="F26" s="3">
        <v>6</v>
      </c>
      <c r="G26" s="3">
        <v>1</v>
      </c>
      <c r="H26" s="5">
        <f t="shared" si="0"/>
        <v>0.8571428571428571</v>
      </c>
      <c r="I26" s="3">
        <v>38</v>
      </c>
      <c r="J26" s="3">
        <v>-6</v>
      </c>
      <c r="K26" s="3">
        <f t="shared" si="1"/>
        <v>7</v>
      </c>
      <c r="AB26" s="5">
        <f t="shared" si="2"/>
        <v>0</v>
      </c>
      <c r="AE26" s="3">
        <f t="shared" si="3"/>
        <v>0</v>
      </c>
    </row>
    <row r="27" spans="1:31" x14ac:dyDescent="0.15">
      <c r="E27" s="3" t="s">
        <v>133</v>
      </c>
      <c r="F27" s="3">
        <v>6</v>
      </c>
      <c r="G27" s="3">
        <v>2</v>
      </c>
      <c r="H27" s="5">
        <f t="shared" si="0"/>
        <v>0.75</v>
      </c>
      <c r="I27" s="3">
        <v>36</v>
      </c>
      <c r="J27" s="3">
        <v>-12</v>
      </c>
      <c r="K27" s="3">
        <f t="shared" si="1"/>
        <v>8</v>
      </c>
      <c r="AB27" s="5"/>
    </row>
    <row r="28" spans="1:31" x14ac:dyDescent="0.15">
      <c r="E28" s="3" t="s">
        <v>105</v>
      </c>
      <c r="F28" s="3">
        <v>3</v>
      </c>
      <c r="G28" s="3">
        <v>1</v>
      </c>
      <c r="H28" s="5">
        <f t="shared" si="0"/>
        <v>0.75</v>
      </c>
      <c r="I28" s="3">
        <v>27</v>
      </c>
      <c r="J28" s="3">
        <v>-7</v>
      </c>
      <c r="K28" s="3">
        <f t="shared" si="1"/>
        <v>4</v>
      </c>
      <c r="AB28" s="5"/>
    </row>
    <row r="29" spans="1:31" x14ac:dyDescent="0.15">
      <c r="E29" s="3" t="s">
        <v>74</v>
      </c>
      <c r="F29" s="3">
        <v>3</v>
      </c>
      <c r="G29" s="3">
        <v>1</v>
      </c>
      <c r="H29" s="5">
        <f t="shared" si="0"/>
        <v>0.75</v>
      </c>
      <c r="I29" s="3">
        <v>12</v>
      </c>
      <c r="J29" s="3">
        <v>-3</v>
      </c>
      <c r="K29" s="3">
        <f t="shared" si="1"/>
        <v>4</v>
      </c>
      <c r="AB29" s="5"/>
    </row>
    <row r="30" spans="1:31" x14ac:dyDescent="0.15">
      <c r="E30" s="3" t="s">
        <v>162</v>
      </c>
      <c r="F30" s="3">
        <v>3</v>
      </c>
      <c r="G30" s="3">
        <v>1</v>
      </c>
      <c r="H30" s="5">
        <f t="shared" si="0"/>
        <v>0.75</v>
      </c>
      <c r="I30" s="3">
        <v>7</v>
      </c>
      <c r="J30" s="3">
        <v>-3</v>
      </c>
      <c r="K30" s="3">
        <f t="shared" si="1"/>
        <v>4</v>
      </c>
      <c r="AB30" s="5"/>
    </row>
    <row r="31" spans="1:31" x14ac:dyDescent="0.15">
      <c r="E31" s="3" t="s">
        <v>161</v>
      </c>
      <c r="F31" s="3">
        <v>21</v>
      </c>
      <c r="G31" s="3">
        <v>8</v>
      </c>
      <c r="H31" s="5">
        <f t="shared" si="0"/>
        <v>0.72413793103448276</v>
      </c>
      <c r="I31" s="3">
        <v>135</v>
      </c>
      <c r="J31" s="3">
        <v>-43</v>
      </c>
      <c r="K31" s="3">
        <f t="shared" si="1"/>
        <v>29</v>
      </c>
      <c r="AB31" s="5"/>
    </row>
    <row r="32" spans="1:31" x14ac:dyDescent="0.15">
      <c r="E32" s="3" t="s">
        <v>124</v>
      </c>
      <c r="F32" s="3">
        <v>6</v>
      </c>
      <c r="G32" s="3">
        <v>3</v>
      </c>
      <c r="H32" s="5">
        <f t="shared" si="0"/>
        <v>0.66666666666666663</v>
      </c>
      <c r="I32" s="3">
        <v>35</v>
      </c>
      <c r="J32" s="3">
        <v>-24</v>
      </c>
      <c r="K32" s="3">
        <f t="shared" si="1"/>
        <v>9</v>
      </c>
      <c r="AB32" s="5"/>
    </row>
    <row r="33" spans="5:28" x14ac:dyDescent="0.15">
      <c r="E33" s="3" t="s">
        <v>129</v>
      </c>
      <c r="F33" s="3">
        <v>4</v>
      </c>
      <c r="G33" s="3">
        <v>2</v>
      </c>
      <c r="H33" s="5">
        <f t="shared" si="0"/>
        <v>0.66666666666666663</v>
      </c>
      <c r="I33" s="3">
        <v>35</v>
      </c>
      <c r="J33" s="3">
        <v>-8</v>
      </c>
      <c r="K33" s="3">
        <f t="shared" si="1"/>
        <v>6</v>
      </c>
      <c r="AB33" s="5"/>
    </row>
    <row r="34" spans="5:28" x14ac:dyDescent="0.15">
      <c r="E34" s="3" t="s">
        <v>134</v>
      </c>
      <c r="F34" s="3">
        <v>4</v>
      </c>
      <c r="G34" s="3">
        <v>2</v>
      </c>
      <c r="H34" s="5">
        <f t="shared" ref="H34:H65" si="4">IF(AND(K34&gt;0, ISNUMBER(F34)), F34/K34, 0)</f>
        <v>0.66666666666666663</v>
      </c>
      <c r="I34" s="3">
        <v>31</v>
      </c>
      <c r="J34" s="3">
        <v>-13</v>
      </c>
      <c r="K34" s="3">
        <f t="shared" ref="K34:K65" si="5">F34+G34</f>
        <v>6</v>
      </c>
      <c r="AB34" s="5"/>
    </row>
    <row r="35" spans="5:28" x14ac:dyDescent="0.15">
      <c r="E35" s="3" t="s">
        <v>165</v>
      </c>
      <c r="F35" s="3">
        <v>2</v>
      </c>
      <c r="G35" s="3">
        <v>1</v>
      </c>
      <c r="H35" s="5">
        <f t="shared" si="4"/>
        <v>0.66666666666666663</v>
      </c>
      <c r="I35" s="3">
        <v>10</v>
      </c>
      <c r="J35" s="3">
        <v>-3</v>
      </c>
      <c r="K35" s="3">
        <f t="shared" si="5"/>
        <v>3</v>
      </c>
      <c r="AB35" s="5"/>
    </row>
    <row r="36" spans="5:28" x14ac:dyDescent="0.15">
      <c r="E36" s="3" t="s">
        <v>139</v>
      </c>
      <c r="F36" s="3">
        <v>2</v>
      </c>
      <c r="G36" s="3">
        <v>1</v>
      </c>
      <c r="H36" s="5">
        <f t="shared" si="4"/>
        <v>0.66666666666666663</v>
      </c>
      <c r="I36" s="3">
        <v>8</v>
      </c>
      <c r="J36" s="3">
        <v>-3</v>
      </c>
      <c r="K36" s="3">
        <f t="shared" si="5"/>
        <v>3</v>
      </c>
      <c r="AB36" s="5"/>
    </row>
    <row r="37" spans="5:28" x14ac:dyDescent="0.15">
      <c r="E37" s="3" t="s">
        <v>158</v>
      </c>
      <c r="F37" s="3">
        <v>7</v>
      </c>
      <c r="G37" s="3">
        <v>4</v>
      </c>
      <c r="H37" s="5">
        <f t="shared" si="4"/>
        <v>0.63636363636363635</v>
      </c>
      <c r="I37" s="3">
        <v>47</v>
      </c>
      <c r="J37" s="3">
        <v>-28</v>
      </c>
      <c r="K37" s="3">
        <f t="shared" si="5"/>
        <v>11</v>
      </c>
      <c r="AB37" s="5"/>
    </row>
    <row r="38" spans="5:28" x14ac:dyDescent="0.15">
      <c r="E38" s="3" t="s">
        <v>145</v>
      </c>
      <c r="F38" s="3">
        <v>5</v>
      </c>
      <c r="G38" s="3">
        <v>3</v>
      </c>
      <c r="H38" s="5">
        <f t="shared" si="4"/>
        <v>0.625</v>
      </c>
      <c r="I38" s="3">
        <v>44</v>
      </c>
      <c r="J38" s="3">
        <v>-14</v>
      </c>
      <c r="K38" s="3">
        <f t="shared" si="5"/>
        <v>8</v>
      </c>
      <c r="AB38" s="5"/>
    </row>
    <row r="39" spans="5:28" x14ac:dyDescent="0.15">
      <c r="E39" s="3" t="s">
        <v>164</v>
      </c>
      <c r="F39" s="3">
        <v>5</v>
      </c>
      <c r="G39" s="3">
        <v>3</v>
      </c>
      <c r="H39" s="5">
        <f t="shared" si="4"/>
        <v>0.625</v>
      </c>
      <c r="I39" s="3">
        <v>43</v>
      </c>
      <c r="J39" s="3">
        <v>-16</v>
      </c>
      <c r="K39" s="3">
        <f t="shared" si="5"/>
        <v>8</v>
      </c>
      <c r="AB39" s="5"/>
    </row>
    <row r="40" spans="5:28" x14ac:dyDescent="0.15">
      <c r="E40" s="3" t="s">
        <v>122</v>
      </c>
      <c r="F40" s="3">
        <v>5</v>
      </c>
      <c r="G40" s="3">
        <v>3</v>
      </c>
      <c r="H40" s="5">
        <f t="shared" si="4"/>
        <v>0.625</v>
      </c>
      <c r="I40" s="3">
        <v>33</v>
      </c>
      <c r="J40" s="3">
        <v>-25</v>
      </c>
      <c r="K40" s="3">
        <f t="shared" si="5"/>
        <v>8</v>
      </c>
      <c r="AB40" s="5"/>
    </row>
    <row r="41" spans="5:28" x14ac:dyDescent="0.15">
      <c r="E41" s="3" t="s">
        <v>170</v>
      </c>
      <c r="F41" s="3">
        <v>5</v>
      </c>
      <c r="G41" s="3">
        <v>3</v>
      </c>
      <c r="H41" s="5">
        <f t="shared" si="4"/>
        <v>0.625</v>
      </c>
      <c r="I41" s="3">
        <v>23</v>
      </c>
      <c r="J41" s="3">
        <v>-9</v>
      </c>
      <c r="K41" s="3">
        <f t="shared" si="5"/>
        <v>8</v>
      </c>
      <c r="AB41" s="5"/>
    </row>
    <row r="42" spans="5:28" x14ac:dyDescent="0.15">
      <c r="E42" s="3" t="s">
        <v>143</v>
      </c>
      <c r="F42" s="3">
        <v>3</v>
      </c>
      <c r="G42" s="3">
        <v>2</v>
      </c>
      <c r="H42" s="5">
        <f t="shared" si="4"/>
        <v>0.6</v>
      </c>
      <c r="I42" s="3">
        <v>16</v>
      </c>
      <c r="J42" s="3">
        <v>-7</v>
      </c>
      <c r="K42" s="3">
        <f t="shared" si="5"/>
        <v>5</v>
      </c>
      <c r="AB42" s="5"/>
    </row>
    <row r="43" spans="5:28" x14ac:dyDescent="0.15">
      <c r="E43" s="3" t="s">
        <v>78</v>
      </c>
      <c r="F43" s="3">
        <v>5</v>
      </c>
      <c r="G43" s="3">
        <v>4</v>
      </c>
      <c r="H43" s="5">
        <f t="shared" si="4"/>
        <v>0.55555555555555558</v>
      </c>
      <c r="I43" s="3">
        <v>47</v>
      </c>
      <c r="J43" s="3">
        <v>-27</v>
      </c>
      <c r="K43" s="3">
        <f t="shared" si="5"/>
        <v>9</v>
      </c>
      <c r="AB43" s="5"/>
    </row>
    <row r="44" spans="5:28" x14ac:dyDescent="0.15">
      <c r="E44" s="3" t="s">
        <v>146</v>
      </c>
      <c r="F44" s="3">
        <v>7</v>
      </c>
      <c r="G44" s="3">
        <v>6</v>
      </c>
      <c r="H44" s="5">
        <f t="shared" si="4"/>
        <v>0.53846153846153844</v>
      </c>
      <c r="I44" s="3">
        <v>46</v>
      </c>
      <c r="J44" s="3">
        <v>-24</v>
      </c>
      <c r="K44" s="3">
        <f t="shared" si="5"/>
        <v>13</v>
      </c>
      <c r="AB44" s="5"/>
    </row>
    <row r="45" spans="5:28" x14ac:dyDescent="0.15">
      <c r="E45" s="3" t="s">
        <v>128</v>
      </c>
      <c r="F45" s="3">
        <v>6</v>
      </c>
      <c r="G45" s="3">
        <v>6</v>
      </c>
      <c r="H45" s="5">
        <f t="shared" si="4"/>
        <v>0.5</v>
      </c>
      <c r="I45" s="3">
        <v>34</v>
      </c>
      <c r="J45" s="3">
        <v>-38</v>
      </c>
      <c r="K45" s="3">
        <f t="shared" si="5"/>
        <v>12</v>
      </c>
      <c r="AB45" s="5"/>
    </row>
    <row r="46" spans="5:28" x14ac:dyDescent="0.15">
      <c r="E46" s="3" t="s">
        <v>113</v>
      </c>
      <c r="F46" s="3">
        <v>5</v>
      </c>
      <c r="G46" s="3">
        <v>5</v>
      </c>
      <c r="H46" s="5">
        <f t="shared" si="4"/>
        <v>0.5</v>
      </c>
      <c r="I46" s="3">
        <v>24</v>
      </c>
      <c r="J46" s="3">
        <v>-21</v>
      </c>
      <c r="K46" s="3">
        <f t="shared" si="5"/>
        <v>10</v>
      </c>
      <c r="AB46" s="5"/>
    </row>
    <row r="47" spans="5:28" x14ac:dyDescent="0.15">
      <c r="E47" s="3" t="s">
        <v>97</v>
      </c>
      <c r="F47" s="3">
        <v>3</v>
      </c>
      <c r="G47" s="3">
        <v>3</v>
      </c>
      <c r="H47" s="5">
        <f t="shared" si="4"/>
        <v>0.5</v>
      </c>
      <c r="I47" s="3">
        <v>25</v>
      </c>
      <c r="J47" s="3">
        <v>-15</v>
      </c>
      <c r="K47" s="3">
        <f t="shared" si="5"/>
        <v>6</v>
      </c>
      <c r="AB47" s="5"/>
    </row>
    <row r="48" spans="5:28" x14ac:dyDescent="0.15">
      <c r="E48" s="3" t="s">
        <v>163</v>
      </c>
      <c r="F48" s="3">
        <v>3</v>
      </c>
      <c r="G48" s="3">
        <v>3</v>
      </c>
      <c r="H48" s="5">
        <f t="shared" si="4"/>
        <v>0.5</v>
      </c>
      <c r="I48" s="3">
        <v>14</v>
      </c>
      <c r="J48" s="3">
        <v>-14</v>
      </c>
      <c r="K48" s="3">
        <f t="shared" si="5"/>
        <v>6</v>
      </c>
      <c r="AB48" s="5"/>
    </row>
    <row r="49" spans="5:28" x14ac:dyDescent="0.15">
      <c r="E49" s="3" t="s">
        <v>86</v>
      </c>
      <c r="F49" s="3">
        <v>1</v>
      </c>
      <c r="G49" s="3">
        <v>1</v>
      </c>
      <c r="H49" s="5">
        <f t="shared" si="4"/>
        <v>0.5</v>
      </c>
      <c r="I49" s="3">
        <v>12</v>
      </c>
      <c r="J49" s="3">
        <v>-2</v>
      </c>
      <c r="K49" s="3">
        <f t="shared" si="5"/>
        <v>2</v>
      </c>
      <c r="AB49" s="5"/>
    </row>
    <row r="50" spans="5:28" x14ac:dyDescent="0.15">
      <c r="E50" s="3" t="s">
        <v>96</v>
      </c>
      <c r="F50" s="3">
        <v>1</v>
      </c>
      <c r="G50" s="3">
        <v>1</v>
      </c>
      <c r="H50" s="5">
        <f t="shared" si="4"/>
        <v>0.5</v>
      </c>
      <c r="I50" s="3">
        <v>11</v>
      </c>
      <c r="J50" s="3">
        <v>-8</v>
      </c>
      <c r="K50" s="3">
        <f t="shared" si="5"/>
        <v>2</v>
      </c>
      <c r="AB50" s="5"/>
    </row>
    <row r="51" spans="5:28" x14ac:dyDescent="0.15">
      <c r="E51" s="3" t="s">
        <v>112</v>
      </c>
      <c r="F51" s="3">
        <v>1</v>
      </c>
      <c r="G51" s="3">
        <v>1</v>
      </c>
      <c r="H51" s="5">
        <f t="shared" si="4"/>
        <v>0.5</v>
      </c>
      <c r="I51" s="3">
        <v>8</v>
      </c>
      <c r="J51" s="3">
        <v>-2</v>
      </c>
      <c r="K51" s="3">
        <f t="shared" si="5"/>
        <v>2</v>
      </c>
    </row>
    <row r="52" spans="5:28" x14ac:dyDescent="0.15">
      <c r="E52" s="3" t="s">
        <v>154</v>
      </c>
      <c r="F52" s="3">
        <v>1</v>
      </c>
      <c r="G52" s="3">
        <v>1</v>
      </c>
      <c r="H52" s="5">
        <f t="shared" si="4"/>
        <v>0.5</v>
      </c>
      <c r="I52" s="3">
        <v>8</v>
      </c>
      <c r="J52" s="3">
        <v>-2</v>
      </c>
      <c r="K52" s="3">
        <f t="shared" si="5"/>
        <v>2</v>
      </c>
    </row>
    <row r="53" spans="5:28" x14ac:dyDescent="0.15">
      <c r="E53" s="3" t="s">
        <v>168</v>
      </c>
      <c r="F53" s="3">
        <v>1</v>
      </c>
      <c r="G53" s="3">
        <v>1</v>
      </c>
      <c r="H53" s="5">
        <f t="shared" si="4"/>
        <v>0.5</v>
      </c>
      <c r="I53" s="3">
        <v>5</v>
      </c>
      <c r="J53" s="3">
        <v>-3</v>
      </c>
      <c r="K53" s="3">
        <f t="shared" si="5"/>
        <v>2</v>
      </c>
    </row>
    <row r="54" spans="5:28" x14ac:dyDescent="0.15">
      <c r="E54" s="3" t="s">
        <v>156</v>
      </c>
      <c r="F54" s="3">
        <v>5</v>
      </c>
      <c r="G54" s="3">
        <v>7</v>
      </c>
      <c r="H54" s="5">
        <f t="shared" si="4"/>
        <v>0.41666666666666669</v>
      </c>
      <c r="I54" s="3">
        <v>12</v>
      </c>
      <c r="J54" s="3">
        <v>-48</v>
      </c>
      <c r="K54" s="3">
        <f t="shared" si="5"/>
        <v>12</v>
      </c>
    </row>
    <row r="55" spans="5:28" x14ac:dyDescent="0.15">
      <c r="E55" s="3" t="s">
        <v>125</v>
      </c>
      <c r="F55" s="3">
        <v>2</v>
      </c>
      <c r="G55" s="3">
        <v>3</v>
      </c>
      <c r="H55" s="5">
        <f t="shared" si="4"/>
        <v>0.4</v>
      </c>
      <c r="I55" s="3">
        <v>16</v>
      </c>
      <c r="J55" s="3">
        <v>-17</v>
      </c>
      <c r="K55" s="3">
        <f t="shared" si="5"/>
        <v>5</v>
      </c>
    </row>
    <row r="56" spans="5:28" x14ac:dyDescent="0.15">
      <c r="E56" s="3" t="s">
        <v>84</v>
      </c>
      <c r="F56" s="3">
        <v>2</v>
      </c>
      <c r="G56" s="3">
        <v>3</v>
      </c>
      <c r="H56" s="5">
        <f t="shared" si="4"/>
        <v>0.4</v>
      </c>
      <c r="I56" s="3">
        <v>11</v>
      </c>
      <c r="J56" s="3">
        <v>-17</v>
      </c>
      <c r="K56" s="3">
        <f t="shared" si="5"/>
        <v>5</v>
      </c>
    </row>
    <row r="57" spans="5:28" x14ac:dyDescent="0.15">
      <c r="E57" s="3" t="s">
        <v>126</v>
      </c>
      <c r="F57" s="3">
        <v>2</v>
      </c>
      <c r="G57" s="3">
        <v>3</v>
      </c>
      <c r="H57" s="5">
        <f t="shared" si="4"/>
        <v>0.4</v>
      </c>
      <c r="I57" s="3">
        <v>9</v>
      </c>
      <c r="J57" s="3">
        <v>-12</v>
      </c>
      <c r="K57" s="3">
        <f t="shared" si="5"/>
        <v>5</v>
      </c>
    </row>
    <row r="58" spans="5:28" x14ac:dyDescent="0.15">
      <c r="E58" s="3" t="s">
        <v>121</v>
      </c>
      <c r="F58" s="3">
        <v>2</v>
      </c>
      <c r="G58" s="3">
        <v>3</v>
      </c>
      <c r="H58" s="5">
        <f t="shared" si="4"/>
        <v>0.4</v>
      </c>
      <c r="I58" s="3">
        <v>7</v>
      </c>
      <c r="J58" s="3">
        <v>-15</v>
      </c>
      <c r="K58" s="3">
        <f t="shared" si="5"/>
        <v>5</v>
      </c>
    </row>
    <row r="59" spans="5:28" x14ac:dyDescent="0.15">
      <c r="E59" s="3" t="s">
        <v>87</v>
      </c>
      <c r="F59" s="3">
        <v>2</v>
      </c>
      <c r="G59" s="3">
        <v>3</v>
      </c>
      <c r="H59" s="5">
        <f t="shared" si="4"/>
        <v>0.4</v>
      </c>
      <c r="I59" s="3">
        <v>4</v>
      </c>
      <c r="J59" s="3">
        <v>-31</v>
      </c>
      <c r="K59" s="3">
        <f t="shared" si="5"/>
        <v>5</v>
      </c>
    </row>
    <row r="60" spans="5:28" x14ac:dyDescent="0.15">
      <c r="E60" s="3" t="s">
        <v>160</v>
      </c>
      <c r="F60" s="3">
        <v>2</v>
      </c>
      <c r="G60" s="3">
        <v>4</v>
      </c>
      <c r="H60" s="5">
        <f t="shared" si="4"/>
        <v>0.33333333333333331</v>
      </c>
      <c r="I60" s="3">
        <v>14</v>
      </c>
      <c r="J60" s="3">
        <v>-24</v>
      </c>
      <c r="K60" s="3">
        <f t="shared" si="5"/>
        <v>6</v>
      </c>
    </row>
    <row r="61" spans="5:28" x14ac:dyDescent="0.15">
      <c r="E61" s="3" t="s">
        <v>82</v>
      </c>
      <c r="F61" s="3">
        <v>2</v>
      </c>
      <c r="G61" s="3">
        <v>4</v>
      </c>
      <c r="H61" s="5">
        <f t="shared" si="4"/>
        <v>0.33333333333333331</v>
      </c>
      <c r="I61" s="3">
        <v>10</v>
      </c>
      <c r="J61" s="3">
        <v>-30</v>
      </c>
      <c r="K61" s="3">
        <f t="shared" si="5"/>
        <v>6</v>
      </c>
    </row>
    <row r="62" spans="5:28" x14ac:dyDescent="0.15">
      <c r="E62" s="3" t="s">
        <v>109</v>
      </c>
      <c r="F62" s="3">
        <v>2</v>
      </c>
      <c r="G62" s="3">
        <v>4</v>
      </c>
      <c r="H62" s="5">
        <f t="shared" si="4"/>
        <v>0.33333333333333331</v>
      </c>
      <c r="I62" s="3">
        <v>7</v>
      </c>
      <c r="J62" s="3">
        <v>-28</v>
      </c>
      <c r="K62" s="3">
        <f t="shared" si="5"/>
        <v>6</v>
      </c>
    </row>
    <row r="63" spans="5:28" x14ac:dyDescent="0.15">
      <c r="E63" s="3" t="s">
        <v>108</v>
      </c>
      <c r="F63" s="3">
        <v>1</v>
      </c>
      <c r="G63" s="3">
        <v>2</v>
      </c>
      <c r="H63" s="5">
        <f t="shared" si="4"/>
        <v>0.33333333333333331</v>
      </c>
      <c r="I63" s="3">
        <v>10</v>
      </c>
      <c r="J63" s="3">
        <v>-12</v>
      </c>
      <c r="K63" s="3">
        <f t="shared" si="5"/>
        <v>3</v>
      </c>
    </row>
    <row r="64" spans="5:28" x14ac:dyDescent="0.15">
      <c r="E64" s="3" t="s">
        <v>103</v>
      </c>
      <c r="F64" s="3">
        <v>1</v>
      </c>
      <c r="G64" s="3">
        <v>2</v>
      </c>
      <c r="H64" s="5">
        <f t="shared" si="4"/>
        <v>0.33333333333333331</v>
      </c>
      <c r="I64" s="3">
        <v>6</v>
      </c>
      <c r="J64" s="3">
        <v>-14</v>
      </c>
      <c r="K64" s="3">
        <f t="shared" si="5"/>
        <v>3</v>
      </c>
    </row>
    <row r="65" spans="5:11" x14ac:dyDescent="0.15">
      <c r="E65" s="3" t="s">
        <v>130</v>
      </c>
      <c r="F65" s="3">
        <v>1</v>
      </c>
      <c r="G65" s="3">
        <v>2</v>
      </c>
      <c r="H65" s="5">
        <f t="shared" si="4"/>
        <v>0.33333333333333331</v>
      </c>
      <c r="I65" s="3">
        <v>4</v>
      </c>
      <c r="J65" s="3">
        <v>-12</v>
      </c>
      <c r="K65" s="3">
        <f t="shared" si="5"/>
        <v>3</v>
      </c>
    </row>
    <row r="66" spans="5:11" x14ac:dyDescent="0.15">
      <c r="E66" s="3" t="s">
        <v>140</v>
      </c>
      <c r="F66" s="3">
        <v>1</v>
      </c>
      <c r="G66" s="3">
        <v>2</v>
      </c>
      <c r="H66" s="5">
        <f t="shared" ref="H66:H97" si="6">IF(AND(K66&gt;0, ISNUMBER(F66)), F66/K66, 0)</f>
        <v>0.33333333333333331</v>
      </c>
      <c r="I66" s="3">
        <v>3</v>
      </c>
      <c r="J66" s="3">
        <v>-12</v>
      </c>
      <c r="K66" s="3">
        <f t="shared" ref="K66:K97" si="7">F66+G66</f>
        <v>3</v>
      </c>
    </row>
    <row r="67" spans="5:11" x14ac:dyDescent="0.15">
      <c r="E67" s="3" t="s">
        <v>166</v>
      </c>
      <c r="F67" s="3">
        <v>1</v>
      </c>
      <c r="G67" s="3">
        <v>2</v>
      </c>
      <c r="H67" s="5">
        <f t="shared" si="6"/>
        <v>0.33333333333333331</v>
      </c>
      <c r="I67" s="3">
        <v>3</v>
      </c>
      <c r="J67" s="3">
        <v>-17</v>
      </c>
      <c r="K67" s="3">
        <f t="shared" si="7"/>
        <v>3</v>
      </c>
    </row>
    <row r="68" spans="5:11" x14ac:dyDescent="0.15">
      <c r="E68" s="3" t="s">
        <v>80</v>
      </c>
      <c r="F68" s="3">
        <v>1</v>
      </c>
      <c r="G68" s="3">
        <v>2</v>
      </c>
      <c r="H68" s="5">
        <f t="shared" si="6"/>
        <v>0.33333333333333331</v>
      </c>
      <c r="I68" s="3">
        <v>2</v>
      </c>
      <c r="J68" s="3">
        <v>-15</v>
      </c>
      <c r="K68" s="3">
        <f t="shared" si="7"/>
        <v>3</v>
      </c>
    </row>
    <row r="69" spans="5:11" x14ac:dyDescent="0.15">
      <c r="E69" s="3" t="s">
        <v>88</v>
      </c>
      <c r="F69" s="3">
        <v>2</v>
      </c>
      <c r="G69" s="3">
        <v>5</v>
      </c>
      <c r="H69" s="5">
        <f t="shared" si="6"/>
        <v>0.2857142857142857</v>
      </c>
      <c r="I69" s="3">
        <v>14</v>
      </c>
      <c r="J69" s="3">
        <v>-23</v>
      </c>
      <c r="K69" s="3">
        <f t="shared" si="7"/>
        <v>7</v>
      </c>
    </row>
    <row r="70" spans="5:11" x14ac:dyDescent="0.15">
      <c r="E70" s="3" t="s">
        <v>106</v>
      </c>
      <c r="F70" s="3">
        <v>1</v>
      </c>
      <c r="G70" s="3">
        <v>3</v>
      </c>
      <c r="H70" s="5">
        <f t="shared" si="6"/>
        <v>0.25</v>
      </c>
      <c r="I70" s="3">
        <v>10</v>
      </c>
      <c r="J70" s="3">
        <v>-17</v>
      </c>
      <c r="K70" s="3">
        <f t="shared" si="7"/>
        <v>4</v>
      </c>
    </row>
    <row r="71" spans="5:11" x14ac:dyDescent="0.15">
      <c r="E71" s="3" t="s">
        <v>120</v>
      </c>
      <c r="F71" s="3">
        <v>1</v>
      </c>
      <c r="G71" s="3">
        <v>3</v>
      </c>
      <c r="H71" s="5">
        <f t="shared" si="6"/>
        <v>0.25</v>
      </c>
      <c r="I71" s="3">
        <v>4</v>
      </c>
      <c r="J71" s="3">
        <v>-19</v>
      </c>
      <c r="K71" s="3">
        <f t="shared" si="7"/>
        <v>4</v>
      </c>
    </row>
    <row r="72" spans="5:11" x14ac:dyDescent="0.15">
      <c r="E72" s="3" t="s">
        <v>98</v>
      </c>
      <c r="F72" s="3">
        <v>2</v>
      </c>
      <c r="G72" s="3">
        <v>7</v>
      </c>
      <c r="H72" s="5">
        <f t="shared" si="6"/>
        <v>0.22222222222222221</v>
      </c>
      <c r="I72" s="3">
        <v>9</v>
      </c>
      <c r="J72" s="3">
        <v>-36</v>
      </c>
      <c r="K72" s="3">
        <f t="shared" si="7"/>
        <v>9</v>
      </c>
    </row>
    <row r="73" spans="5:11" x14ac:dyDescent="0.15">
      <c r="E73" s="3" t="s">
        <v>75</v>
      </c>
      <c r="F73" s="3">
        <v>1</v>
      </c>
      <c r="G73" s="3">
        <v>4</v>
      </c>
      <c r="H73" s="5">
        <f t="shared" si="6"/>
        <v>0.2</v>
      </c>
      <c r="I73" s="3">
        <v>9</v>
      </c>
      <c r="J73" s="3">
        <v>-39</v>
      </c>
      <c r="K73" s="3">
        <f t="shared" si="7"/>
        <v>5</v>
      </c>
    </row>
    <row r="74" spans="5:11" x14ac:dyDescent="0.15">
      <c r="E74" s="3" t="s">
        <v>147</v>
      </c>
      <c r="F74" s="3">
        <v>1</v>
      </c>
      <c r="G74" s="3">
        <v>6</v>
      </c>
      <c r="H74" s="5">
        <f t="shared" si="6"/>
        <v>0.14285714285714285</v>
      </c>
      <c r="I74" s="3">
        <v>2</v>
      </c>
      <c r="J74" s="3">
        <v>-34</v>
      </c>
      <c r="K74" s="3">
        <f t="shared" si="7"/>
        <v>7</v>
      </c>
    </row>
    <row r="75" spans="5:11" x14ac:dyDescent="0.15">
      <c r="E75" s="3" t="s">
        <v>199</v>
      </c>
      <c r="F75" s="3">
        <v>0</v>
      </c>
      <c r="G75" s="3">
        <v>2</v>
      </c>
      <c r="H75" s="5">
        <f t="shared" si="6"/>
        <v>0</v>
      </c>
      <c r="I75" s="3">
        <v>0</v>
      </c>
      <c r="J75" s="3">
        <v>-9</v>
      </c>
      <c r="K75" s="3">
        <f t="shared" si="7"/>
        <v>2</v>
      </c>
    </row>
    <row r="76" spans="5:11" x14ac:dyDescent="0.15">
      <c r="E76" s="3" t="s">
        <v>141</v>
      </c>
      <c r="F76" s="3">
        <v>0</v>
      </c>
      <c r="G76" s="3">
        <v>1</v>
      </c>
      <c r="H76" s="5">
        <f t="shared" si="6"/>
        <v>0</v>
      </c>
      <c r="I76" s="3">
        <v>0</v>
      </c>
      <c r="J76" s="3">
        <v>-8</v>
      </c>
      <c r="K76" s="3">
        <f t="shared" si="7"/>
        <v>1</v>
      </c>
    </row>
    <row r="77" spans="5:11" x14ac:dyDescent="0.15">
      <c r="E77" s="3" t="s">
        <v>127</v>
      </c>
      <c r="F77" s="3">
        <v>0</v>
      </c>
      <c r="G77" s="3">
        <v>2</v>
      </c>
      <c r="H77" s="5">
        <f t="shared" si="6"/>
        <v>0</v>
      </c>
      <c r="I77" s="3">
        <v>0</v>
      </c>
      <c r="J77" s="3">
        <v>-8</v>
      </c>
      <c r="K77" s="3">
        <f t="shared" si="7"/>
        <v>2</v>
      </c>
    </row>
    <row r="78" spans="5:11" x14ac:dyDescent="0.15">
      <c r="E78" s="3" t="s">
        <v>144</v>
      </c>
      <c r="F78" s="3">
        <v>0</v>
      </c>
      <c r="G78" s="3">
        <v>2</v>
      </c>
      <c r="H78" s="5">
        <f t="shared" si="6"/>
        <v>0</v>
      </c>
      <c r="I78" s="3">
        <v>0</v>
      </c>
      <c r="J78" s="3">
        <v>-22</v>
      </c>
      <c r="K78" s="3">
        <f t="shared" si="7"/>
        <v>2</v>
      </c>
    </row>
    <row r="79" spans="5:11" x14ac:dyDescent="0.15">
      <c r="E79" s="3" t="s">
        <v>131</v>
      </c>
      <c r="F79" s="3">
        <v>0</v>
      </c>
      <c r="G79" s="3">
        <v>1</v>
      </c>
      <c r="H79" s="5">
        <f t="shared" si="6"/>
        <v>0</v>
      </c>
      <c r="I79" s="3">
        <v>0</v>
      </c>
      <c r="J79" s="3">
        <v>-13</v>
      </c>
      <c r="K79" s="3">
        <f t="shared" si="7"/>
        <v>1</v>
      </c>
    </row>
    <row r="80" spans="5:11" x14ac:dyDescent="0.15">
      <c r="E80" s="3" t="s">
        <v>148</v>
      </c>
      <c r="F80" s="3">
        <v>0</v>
      </c>
      <c r="G80" s="3">
        <v>1</v>
      </c>
      <c r="H80" s="5">
        <f t="shared" si="6"/>
        <v>0</v>
      </c>
      <c r="I80" s="3">
        <v>0</v>
      </c>
      <c r="J80" s="3">
        <v>-8</v>
      </c>
      <c r="K80" s="3">
        <f t="shared" si="7"/>
        <v>1</v>
      </c>
    </row>
    <row r="81" spans="5:11" x14ac:dyDescent="0.15">
      <c r="E81" s="3" t="s">
        <v>149</v>
      </c>
      <c r="F81" s="3">
        <v>0</v>
      </c>
      <c r="G81" s="3">
        <v>3</v>
      </c>
      <c r="H81" s="5">
        <f t="shared" si="6"/>
        <v>0</v>
      </c>
      <c r="I81" s="3">
        <v>0</v>
      </c>
      <c r="J81" s="3">
        <v>-21</v>
      </c>
      <c r="K81" s="3">
        <f t="shared" si="7"/>
        <v>3</v>
      </c>
    </row>
    <row r="82" spans="5:11" x14ac:dyDescent="0.15">
      <c r="E82" s="3" t="s">
        <v>150</v>
      </c>
      <c r="F82" s="3">
        <v>0</v>
      </c>
      <c r="G82" s="3">
        <v>5</v>
      </c>
      <c r="H82" s="5">
        <f t="shared" si="6"/>
        <v>0</v>
      </c>
      <c r="I82" s="3">
        <v>0</v>
      </c>
      <c r="J82" s="3">
        <v>-33</v>
      </c>
      <c r="K82" s="3">
        <f t="shared" si="7"/>
        <v>5</v>
      </c>
    </row>
    <row r="83" spans="5:11" x14ac:dyDescent="0.15">
      <c r="E83" s="3" t="s">
        <v>151</v>
      </c>
      <c r="F83" s="3">
        <v>0</v>
      </c>
      <c r="G83" s="3">
        <v>8</v>
      </c>
      <c r="H83" s="5">
        <f t="shared" si="6"/>
        <v>0</v>
      </c>
      <c r="I83" s="3">
        <v>0</v>
      </c>
      <c r="J83" s="3">
        <v>-41</v>
      </c>
      <c r="K83" s="3">
        <f t="shared" si="7"/>
        <v>8</v>
      </c>
    </row>
    <row r="84" spans="5:11" x14ac:dyDescent="0.15">
      <c r="E84" s="3" t="s">
        <v>152</v>
      </c>
      <c r="F84" s="3">
        <v>0</v>
      </c>
      <c r="G84" s="3">
        <v>2</v>
      </c>
      <c r="H84" s="5">
        <f t="shared" si="6"/>
        <v>0</v>
      </c>
      <c r="I84" s="3">
        <v>0</v>
      </c>
      <c r="J84" s="3">
        <v>-8</v>
      </c>
      <c r="K84" s="3">
        <f t="shared" si="7"/>
        <v>2</v>
      </c>
    </row>
    <row r="85" spans="5:11" x14ac:dyDescent="0.15">
      <c r="E85" s="3" t="s">
        <v>153</v>
      </c>
      <c r="F85" s="3">
        <v>0</v>
      </c>
      <c r="G85" s="3">
        <v>3</v>
      </c>
      <c r="H85" s="5">
        <f t="shared" si="6"/>
        <v>0</v>
      </c>
      <c r="I85" s="3">
        <v>0</v>
      </c>
      <c r="J85" s="3">
        <v>-28</v>
      </c>
      <c r="K85" s="3">
        <f t="shared" si="7"/>
        <v>3</v>
      </c>
    </row>
    <row r="86" spans="5:11" x14ac:dyDescent="0.15">
      <c r="E86" s="3" t="s">
        <v>155</v>
      </c>
      <c r="F86" s="3">
        <v>0</v>
      </c>
      <c r="G86" s="3">
        <v>2</v>
      </c>
      <c r="H86" s="5">
        <f t="shared" si="6"/>
        <v>0</v>
      </c>
      <c r="I86" s="3">
        <v>0</v>
      </c>
      <c r="J86" s="3">
        <v>-5</v>
      </c>
      <c r="K86" s="3">
        <f t="shared" si="7"/>
        <v>2</v>
      </c>
    </row>
    <row r="87" spans="5:11" x14ac:dyDescent="0.15">
      <c r="E87" s="3" t="s">
        <v>83</v>
      </c>
      <c r="F87" s="3">
        <v>0</v>
      </c>
      <c r="G87" s="3">
        <v>4</v>
      </c>
      <c r="H87" s="5">
        <f t="shared" si="6"/>
        <v>0</v>
      </c>
      <c r="I87" s="3">
        <v>0</v>
      </c>
      <c r="J87" s="3">
        <v>-19</v>
      </c>
      <c r="K87" s="3">
        <f t="shared" si="7"/>
        <v>4</v>
      </c>
    </row>
    <row r="88" spans="5:11" x14ac:dyDescent="0.15">
      <c r="E88" s="3" t="s">
        <v>85</v>
      </c>
      <c r="F88" s="3">
        <v>0</v>
      </c>
      <c r="G88" s="3">
        <v>2</v>
      </c>
      <c r="H88" s="5">
        <f t="shared" si="6"/>
        <v>0</v>
      </c>
      <c r="I88" s="3">
        <v>0</v>
      </c>
      <c r="J88" s="3">
        <v>-22</v>
      </c>
      <c r="K88" s="3">
        <f t="shared" si="7"/>
        <v>2</v>
      </c>
    </row>
    <row r="89" spans="5:11" x14ac:dyDescent="0.15">
      <c r="E89" s="3" t="s">
        <v>89</v>
      </c>
      <c r="F89" s="3">
        <v>0</v>
      </c>
      <c r="G89" s="3">
        <v>1</v>
      </c>
      <c r="H89" s="5">
        <f t="shared" si="6"/>
        <v>0</v>
      </c>
      <c r="I89" s="3">
        <v>0</v>
      </c>
      <c r="J89" s="3">
        <v>-3</v>
      </c>
      <c r="K89" s="3">
        <f t="shared" si="7"/>
        <v>1</v>
      </c>
    </row>
    <row r="90" spans="5:11" x14ac:dyDescent="0.15">
      <c r="E90" s="3" t="s">
        <v>90</v>
      </c>
      <c r="F90" s="3">
        <v>0</v>
      </c>
      <c r="G90" s="3">
        <v>2</v>
      </c>
      <c r="H90" s="5">
        <f t="shared" si="6"/>
        <v>0</v>
      </c>
      <c r="I90" s="3">
        <v>0</v>
      </c>
      <c r="J90" s="3">
        <v>-21</v>
      </c>
      <c r="K90" s="3">
        <f t="shared" si="7"/>
        <v>2</v>
      </c>
    </row>
    <row r="91" spans="5:11" x14ac:dyDescent="0.15">
      <c r="E91" s="3" t="s">
        <v>93</v>
      </c>
      <c r="F91" s="3">
        <v>0</v>
      </c>
      <c r="G91" s="3">
        <v>6</v>
      </c>
      <c r="H91" s="5">
        <f t="shared" si="6"/>
        <v>0</v>
      </c>
      <c r="I91" s="3">
        <v>0</v>
      </c>
      <c r="J91" s="3">
        <v>-44</v>
      </c>
      <c r="K91" s="3">
        <f t="shared" si="7"/>
        <v>6</v>
      </c>
    </row>
    <row r="92" spans="5:11" x14ac:dyDescent="0.15">
      <c r="E92" s="3" t="s">
        <v>135</v>
      </c>
      <c r="F92" s="3">
        <v>0</v>
      </c>
      <c r="G92" s="3">
        <v>1</v>
      </c>
      <c r="H92" s="5">
        <f t="shared" si="6"/>
        <v>0</v>
      </c>
      <c r="I92" s="3">
        <v>0</v>
      </c>
      <c r="J92" s="3">
        <v>-4</v>
      </c>
      <c r="K92" s="3">
        <f t="shared" si="7"/>
        <v>1</v>
      </c>
    </row>
    <row r="93" spans="5:11" x14ac:dyDescent="0.15">
      <c r="E93" s="3" t="s">
        <v>95</v>
      </c>
      <c r="F93" s="3">
        <v>0</v>
      </c>
      <c r="G93" s="3">
        <v>1</v>
      </c>
      <c r="H93" s="5">
        <f t="shared" si="6"/>
        <v>0</v>
      </c>
      <c r="I93" s="3">
        <v>0</v>
      </c>
      <c r="J93" s="3">
        <v>-6</v>
      </c>
      <c r="K93" s="3">
        <f t="shared" si="7"/>
        <v>1</v>
      </c>
    </row>
    <row r="94" spans="5:11" x14ac:dyDescent="0.15">
      <c r="E94" s="3" t="s">
        <v>99</v>
      </c>
      <c r="F94" s="3">
        <v>0</v>
      </c>
      <c r="G94" s="3">
        <v>1</v>
      </c>
      <c r="H94" s="5">
        <f t="shared" si="6"/>
        <v>0</v>
      </c>
      <c r="I94" s="3">
        <v>0</v>
      </c>
      <c r="J94" s="3">
        <v>-5</v>
      </c>
      <c r="K94" s="3">
        <f t="shared" si="7"/>
        <v>1</v>
      </c>
    </row>
    <row r="95" spans="5:11" x14ac:dyDescent="0.15">
      <c r="E95" s="3" t="s">
        <v>100</v>
      </c>
      <c r="F95" s="3">
        <v>0</v>
      </c>
      <c r="G95" s="3">
        <v>1</v>
      </c>
      <c r="H95" s="5">
        <f t="shared" si="6"/>
        <v>0</v>
      </c>
      <c r="I95" s="3">
        <v>0</v>
      </c>
      <c r="J95" s="3">
        <v>-3</v>
      </c>
      <c r="K95" s="3">
        <f t="shared" si="7"/>
        <v>1</v>
      </c>
    </row>
    <row r="96" spans="5:11" x14ac:dyDescent="0.15">
      <c r="E96" s="3" t="s">
        <v>101</v>
      </c>
      <c r="F96" s="3">
        <v>0</v>
      </c>
      <c r="G96" s="3">
        <v>2</v>
      </c>
      <c r="H96" s="5">
        <f t="shared" si="6"/>
        <v>0</v>
      </c>
      <c r="I96" s="3">
        <v>0</v>
      </c>
      <c r="J96" s="3">
        <v>-17</v>
      </c>
      <c r="K96" s="3">
        <f t="shared" si="7"/>
        <v>2</v>
      </c>
    </row>
    <row r="97" spans="5:11" x14ac:dyDescent="0.15">
      <c r="E97" s="3" t="s">
        <v>102</v>
      </c>
      <c r="F97" s="3">
        <v>0</v>
      </c>
      <c r="G97" s="3">
        <v>1</v>
      </c>
      <c r="H97" s="5">
        <f t="shared" si="6"/>
        <v>0</v>
      </c>
      <c r="I97" s="3">
        <v>0</v>
      </c>
      <c r="J97" s="3">
        <v>-14</v>
      </c>
      <c r="K97" s="3">
        <f t="shared" si="7"/>
        <v>1</v>
      </c>
    </row>
    <row r="98" spans="5:11" x14ac:dyDescent="0.15">
      <c r="E98" s="3" t="s">
        <v>107</v>
      </c>
      <c r="F98" s="3">
        <v>0</v>
      </c>
      <c r="G98" s="3">
        <v>1</v>
      </c>
      <c r="H98" s="5">
        <f t="shared" ref="H98:H106" si="8">IF(AND(K98&gt;0, ISNUMBER(F98)), F98/K98, 0)</f>
        <v>0</v>
      </c>
      <c r="I98" s="3">
        <v>0</v>
      </c>
      <c r="J98" s="3">
        <v>-17</v>
      </c>
      <c r="K98" s="3">
        <f t="shared" ref="K98:K106" si="9">F98+G98</f>
        <v>1</v>
      </c>
    </row>
    <row r="99" spans="5:11" x14ac:dyDescent="0.15">
      <c r="E99" s="3" t="s">
        <v>172</v>
      </c>
      <c r="F99" s="3">
        <v>0</v>
      </c>
      <c r="G99" s="3">
        <v>1</v>
      </c>
      <c r="H99" s="5">
        <f t="shared" si="8"/>
        <v>0</v>
      </c>
      <c r="I99" s="3">
        <v>0</v>
      </c>
      <c r="J99" s="3">
        <v>-2</v>
      </c>
      <c r="K99" s="3">
        <f t="shared" si="9"/>
        <v>1</v>
      </c>
    </row>
    <row r="100" spans="5:11" x14ac:dyDescent="0.15">
      <c r="E100" s="3" t="s">
        <v>173</v>
      </c>
      <c r="F100" s="3">
        <v>0</v>
      </c>
      <c r="G100" s="3">
        <v>3</v>
      </c>
      <c r="H100" s="5">
        <f t="shared" si="8"/>
        <v>0</v>
      </c>
      <c r="I100" s="3">
        <v>0</v>
      </c>
      <c r="J100" s="3">
        <v>-24</v>
      </c>
      <c r="K100" s="3">
        <f t="shared" si="9"/>
        <v>3</v>
      </c>
    </row>
    <row r="101" spans="5:11" x14ac:dyDescent="0.15">
      <c r="E101" s="3" t="s">
        <v>174</v>
      </c>
      <c r="F101" s="3">
        <v>0</v>
      </c>
      <c r="G101" s="3">
        <v>1</v>
      </c>
      <c r="H101" s="5">
        <f t="shared" si="8"/>
        <v>0</v>
      </c>
      <c r="I101" s="3">
        <v>0</v>
      </c>
      <c r="J101" s="3">
        <v>-7</v>
      </c>
      <c r="K101" s="3">
        <f t="shared" si="9"/>
        <v>1</v>
      </c>
    </row>
    <row r="102" spans="5:11" x14ac:dyDescent="0.15">
      <c r="E102" s="3" t="s">
        <v>110</v>
      </c>
      <c r="F102" s="3">
        <v>0</v>
      </c>
      <c r="G102" s="3">
        <v>3</v>
      </c>
      <c r="H102" s="5">
        <f t="shared" si="8"/>
        <v>0</v>
      </c>
      <c r="I102" s="3">
        <v>0</v>
      </c>
      <c r="J102" s="3">
        <v>-17</v>
      </c>
      <c r="K102" s="3">
        <f t="shared" si="9"/>
        <v>3</v>
      </c>
    </row>
    <row r="103" spans="5:11" x14ac:dyDescent="0.15">
      <c r="E103" s="3" t="s">
        <v>137</v>
      </c>
      <c r="F103" s="3">
        <v>0</v>
      </c>
      <c r="G103" s="3">
        <v>1</v>
      </c>
      <c r="H103" s="5">
        <f t="shared" si="8"/>
        <v>0</v>
      </c>
      <c r="I103" s="3">
        <v>0</v>
      </c>
      <c r="J103" s="3">
        <v>-9</v>
      </c>
      <c r="K103" s="3">
        <f t="shared" si="9"/>
        <v>1</v>
      </c>
    </row>
    <row r="104" spans="5:11" x14ac:dyDescent="0.15">
      <c r="E104" s="3" t="s">
        <v>175</v>
      </c>
      <c r="F104" s="3">
        <v>0</v>
      </c>
      <c r="G104" s="3">
        <v>1</v>
      </c>
      <c r="H104" s="5">
        <f t="shared" si="8"/>
        <v>0</v>
      </c>
      <c r="I104" s="3">
        <v>0</v>
      </c>
      <c r="J104" s="3">
        <v>-9</v>
      </c>
      <c r="K104" s="3">
        <f t="shared" si="9"/>
        <v>1</v>
      </c>
    </row>
    <row r="105" spans="5:11" x14ac:dyDescent="0.15">
      <c r="E105" s="3" t="s">
        <v>117</v>
      </c>
      <c r="F105" s="3">
        <v>0</v>
      </c>
      <c r="G105" s="3">
        <v>1</v>
      </c>
      <c r="H105" s="5">
        <f t="shared" si="8"/>
        <v>0</v>
      </c>
      <c r="I105" s="3">
        <v>0</v>
      </c>
      <c r="J105" s="3">
        <v>-7</v>
      </c>
      <c r="K105" s="3">
        <f t="shared" si="9"/>
        <v>1</v>
      </c>
    </row>
    <row r="106" spans="5:11" x14ac:dyDescent="0.15">
      <c r="E106" s="3" t="s">
        <v>118</v>
      </c>
      <c r="F106" s="3">
        <v>0</v>
      </c>
      <c r="G106" s="3">
        <v>1</v>
      </c>
      <c r="H106" s="5">
        <f t="shared" si="8"/>
        <v>0</v>
      </c>
      <c r="I106" s="3">
        <v>0</v>
      </c>
      <c r="J106" s="3">
        <v>-4</v>
      </c>
      <c r="K106" s="3">
        <f t="shared" si="9"/>
        <v>1</v>
      </c>
    </row>
  </sheetData>
  <sortState ref="D2:K106">
    <sortCondition descending="1" ref="H2:H106"/>
    <sortCondition descending="1" ref="F2:F106"/>
    <sortCondition descending="1" ref="I2:I106"/>
  </sortState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216"/>
  <sheetViews>
    <sheetView workbookViewId="0">
      <selection activeCell="A165" sqref="A165:XFD216"/>
    </sheetView>
  </sheetViews>
  <sheetFormatPr defaultRowHeight="13.5" x14ac:dyDescent="0.15"/>
  <cols>
    <col min="1" max="1" width="14" customWidth="1"/>
    <col min="2" max="2" width="11.125" customWidth="1"/>
    <col min="3" max="3" width="10.5" customWidth="1"/>
    <col min="4" max="4" width="10.375" customWidth="1"/>
    <col min="5" max="5" width="13.5" customWidth="1"/>
    <col min="6" max="6" width="11.375" customWidth="1"/>
    <col min="12" max="12" width="13.125" customWidth="1"/>
    <col min="13" max="13" width="15.875" customWidth="1"/>
    <col min="14" max="14" width="16" customWidth="1"/>
    <col min="15" max="15" width="12.625" customWidth="1"/>
    <col min="16" max="16" width="13.25" customWidth="1"/>
    <col min="17" max="17" width="10.625" customWidth="1"/>
  </cols>
  <sheetData>
    <row r="1" spans="1:17" x14ac:dyDescent="0.15">
      <c r="A1" s="12" t="s">
        <v>46</v>
      </c>
      <c r="B1" s="19" t="s">
        <v>11</v>
      </c>
      <c r="C1" s="19"/>
      <c r="D1" s="19" t="s">
        <v>12</v>
      </c>
      <c r="E1" s="19"/>
      <c r="F1" s="2" t="s">
        <v>7</v>
      </c>
      <c r="L1" s="4"/>
      <c r="M1" s="4"/>
      <c r="N1" s="4"/>
      <c r="O1" s="4"/>
      <c r="P1" s="4"/>
      <c r="Q1" s="4"/>
    </row>
    <row r="2" spans="1:17" x14ac:dyDescent="0.15">
      <c r="A2" s="14" t="s">
        <v>47</v>
      </c>
      <c r="B2" s="15" t="s">
        <v>27</v>
      </c>
      <c r="C2" s="15" t="s">
        <v>28</v>
      </c>
      <c r="D2" s="15" t="s">
        <v>23</v>
      </c>
      <c r="E2" s="15" t="s">
        <v>26</v>
      </c>
      <c r="F2" s="15">
        <v>5</v>
      </c>
      <c r="L2" s="3"/>
      <c r="M2" s="3"/>
      <c r="N2" s="3"/>
      <c r="O2" s="5"/>
      <c r="P2" s="3"/>
      <c r="Q2" s="3"/>
    </row>
    <row r="3" spans="1:17" x14ac:dyDescent="0.15">
      <c r="A3" s="14" t="s">
        <v>47</v>
      </c>
      <c r="B3" s="15" t="s">
        <v>30</v>
      </c>
      <c r="C3" s="15" t="s">
        <v>23</v>
      </c>
      <c r="D3" s="15" t="s">
        <v>27</v>
      </c>
      <c r="E3" s="15" t="s">
        <v>28</v>
      </c>
      <c r="F3" s="15">
        <v>3</v>
      </c>
      <c r="L3" s="3"/>
      <c r="M3" s="3"/>
      <c r="N3" s="3"/>
      <c r="O3" s="5"/>
      <c r="P3" s="3"/>
      <c r="Q3" s="3"/>
    </row>
    <row r="4" spans="1:17" x14ac:dyDescent="0.15">
      <c r="A4" s="14" t="s">
        <v>47</v>
      </c>
      <c r="B4" s="15" t="s">
        <v>30</v>
      </c>
      <c r="C4" s="15" t="s">
        <v>23</v>
      </c>
      <c r="D4" s="15" t="s">
        <v>27</v>
      </c>
      <c r="E4" s="15" t="s">
        <v>26</v>
      </c>
      <c r="F4" s="15">
        <v>7</v>
      </c>
      <c r="L4" s="3"/>
      <c r="M4" s="3"/>
      <c r="N4" s="3"/>
      <c r="O4" s="5"/>
      <c r="P4" s="3"/>
      <c r="Q4" s="3"/>
    </row>
    <row r="5" spans="1:17" x14ac:dyDescent="0.15">
      <c r="A5" s="14" t="s">
        <v>47</v>
      </c>
      <c r="B5" s="15" t="s">
        <v>27</v>
      </c>
      <c r="C5" s="15" t="s">
        <v>23</v>
      </c>
      <c r="D5" s="15" t="s">
        <v>24</v>
      </c>
      <c r="E5" s="15" t="s">
        <v>26</v>
      </c>
      <c r="F5" s="15">
        <v>8</v>
      </c>
      <c r="L5" s="3"/>
      <c r="M5" s="3"/>
      <c r="N5" s="3"/>
      <c r="O5" s="5"/>
      <c r="P5" s="3"/>
      <c r="Q5" s="3"/>
    </row>
    <row r="6" spans="1:17" x14ac:dyDescent="0.15">
      <c r="A6" s="14" t="s">
        <v>47</v>
      </c>
      <c r="B6" s="15" t="s">
        <v>24</v>
      </c>
      <c r="C6" s="15" t="s">
        <v>27</v>
      </c>
      <c r="D6" s="15" t="s">
        <v>30</v>
      </c>
      <c r="E6" s="15" t="s">
        <v>28</v>
      </c>
      <c r="F6" s="15">
        <v>8</v>
      </c>
      <c r="L6" s="3"/>
      <c r="M6" s="3"/>
      <c r="N6" s="3"/>
      <c r="O6" s="5"/>
      <c r="P6" s="3"/>
      <c r="Q6" s="3"/>
    </row>
    <row r="7" spans="1:17" x14ac:dyDescent="0.15">
      <c r="A7" s="14" t="s">
        <v>47</v>
      </c>
      <c r="B7" s="15" t="s">
        <v>24</v>
      </c>
      <c r="C7" s="15" t="s">
        <v>28</v>
      </c>
      <c r="D7" s="15" t="s">
        <v>23</v>
      </c>
      <c r="E7" s="15" t="s">
        <v>26</v>
      </c>
      <c r="F7" s="15">
        <v>7</v>
      </c>
      <c r="L7" s="3"/>
      <c r="M7" s="3"/>
      <c r="N7" s="3"/>
      <c r="O7" s="5"/>
      <c r="P7" s="3"/>
      <c r="Q7" s="3"/>
    </row>
    <row r="8" spans="1:17" x14ac:dyDescent="0.15">
      <c r="A8" s="14" t="s">
        <v>47</v>
      </c>
      <c r="B8" s="15" t="s">
        <v>30</v>
      </c>
      <c r="C8" s="15" t="s">
        <v>27</v>
      </c>
      <c r="D8" s="15" t="s">
        <v>23</v>
      </c>
      <c r="E8" s="15" t="s">
        <v>28</v>
      </c>
      <c r="F8" s="15">
        <v>2</v>
      </c>
      <c r="L8" s="3"/>
      <c r="M8" s="3"/>
      <c r="N8" s="3"/>
      <c r="O8" s="5"/>
      <c r="P8" s="3"/>
      <c r="Q8" s="3"/>
    </row>
    <row r="9" spans="1:17" x14ac:dyDescent="0.15">
      <c r="A9" s="14" t="s">
        <v>47</v>
      </c>
      <c r="B9" s="15" t="s">
        <v>24</v>
      </c>
      <c r="C9" s="15" t="s">
        <v>31</v>
      </c>
      <c r="D9" s="15" t="s">
        <v>27</v>
      </c>
      <c r="E9" s="15" t="s">
        <v>30</v>
      </c>
      <c r="F9" s="15">
        <v>6</v>
      </c>
      <c r="L9" s="3"/>
      <c r="M9" s="3"/>
      <c r="N9" s="3"/>
      <c r="O9" s="5"/>
      <c r="P9" s="3"/>
      <c r="Q9" s="3"/>
    </row>
    <row r="10" spans="1:17" x14ac:dyDescent="0.15">
      <c r="A10" s="14" t="s">
        <v>47</v>
      </c>
      <c r="B10" s="15" t="s">
        <v>23</v>
      </c>
      <c r="C10" s="15" t="s">
        <v>31</v>
      </c>
      <c r="D10" s="15" t="s">
        <v>32</v>
      </c>
      <c r="E10" s="15" t="s">
        <v>26</v>
      </c>
      <c r="F10" s="15">
        <v>6</v>
      </c>
      <c r="L10" s="3"/>
      <c r="M10" s="3"/>
      <c r="N10" s="3"/>
      <c r="O10" s="5"/>
      <c r="P10" s="3"/>
      <c r="Q10" s="3"/>
    </row>
    <row r="11" spans="1:17" x14ac:dyDescent="0.15">
      <c r="A11" s="14" t="s">
        <v>47</v>
      </c>
      <c r="B11" s="15" t="s">
        <v>30</v>
      </c>
      <c r="C11" s="15" t="s">
        <v>31</v>
      </c>
      <c r="D11" s="15" t="s">
        <v>32</v>
      </c>
      <c r="E11" s="15" t="s">
        <v>27</v>
      </c>
      <c r="F11" s="15">
        <v>5</v>
      </c>
      <c r="L11" s="3"/>
      <c r="M11" s="3"/>
      <c r="N11" s="3"/>
      <c r="O11" s="5"/>
      <c r="P11" s="3"/>
      <c r="Q11" s="3"/>
    </row>
    <row r="12" spans="1:17" x14ac:dyDescent="0.15">
      <c r="A12" s="14" t="s">
        <v>47</v>
      </c>
      <c r="B12" s="15" t="s">
        <v>24</v>
      </c>
      <c r="C12" s="15" t="s">
        <v>23</v>
      </c>
      <c r="D12" s="15" t="s">
        <v>28</v>
      </c>
      <c r="E12" s="15" t="s">
        <v>25</v>
      </c>
      <c r="F12" s="15">
        <v>7</v>
      </c>
      <c r="L12" s="3"/>
      <c r="M12" s="3"/>
      <c r="N12" s="3"/>
      <c r="O12" s="5"/>
      <c r="P12" s="3"/>
      <c r="Q12" s="3"/>
    </row>
    <row r="13" spans="1:17" x14ac:dyDescent="0.15">
      <c r="A13" s="14" t="s">
        <v>47</v>
      </c>
      <c r="B13" s="15" t="s">
        <v>30</v>
      </c>
      <c r="C13" s="15" t="s">
        <v>31</v>
      </c>
      <c r="D13" s="15" t="s">
        <v>32</v>
      </c>
      <c r="E13" s="15" t="s">
        <v>26</v>
      </c>
      <c r="F13" s="15">
        <v>2</v>
      </c>
      <c r="L13" s="3"/>
      <c r="M13" s="3"/>
      <c r="N13" s="3"/>
      <c r="O13" s="5"/>
      <c r="P13" s="3"/>
      <c r="Q13" s="3"/>
    </row>
    <row r="14" spans="1:17" x14ac:dyDescent="0.15">
      <c r="A14" s="14" t="s">
        <v>47</v>
      </c>
      <c r="B14" s="15" t="s">
        <v>30</v>
      </c>
      <c r="C14" s="15" t="s">
        <v>24</v>
      </c>
      <c r="D14" s="15" t="s">
        <v>28</v>
      </c>
      <c r="E14" s="15" t="s">
        <v>23</v>
      </c>
      <c r="F14" s="15">
        <v>10</v>
      </c>
      <c r="L14" s="3"/>
      <c r="M14" s="3"/>
      <c r="N14" s="3"/>
      <c r="O14" s="5"/>
      <c r="P14" s="3"/>
      <c r="Q14" s="3"/>
    </row>
    <row r="15" spans="1:17" x14ac:dyDescent="0.15">
      <c r="A15" s="14" t="s">
        <v>47</v>
      </c>
      <c r="B15" s="15" t="s">
        <v>32</v>
      </c>
      <c r="C15" s="15" t="s">
        <v>31</v>
      </c>
      <c r="D15" s="15" t="s">
        <v>27</v>
      </c>
      <c r="E15" s="15" t="s">
        <v>26</v>
      </c>
      <c r="F15" s="15">
        <v>2</v>
      </c>
      <c r="L15" s="3"/>
      <c r="M15" s="3"/>
      <c r="N15" s="3"/>
      <c r="O15" s="5"/>
      <c r="P15" s="3"/>
      <c r="Q15" s="3"/>
    </row>
    <row r="16" spans="1:17" x14ac:dyDescent="0.15">
      <c r="A16" s="14" t="s">
        <v>47</v>
      </c>
      <c r="B16" s="15" t="s">
        <v>24</v>
      </c>
      <c r="C16" s="15" t="s">
        <v>30</v>
      </c>
      <c r="D16" s="15" t="s">
        <v>28</v>
      </c>
      <c r="E16" s="15" t="s">
        <v>25</v>
      </c>
      <c r="F16" s="15">
        <v>2</v>
      </c>
      <c r="L16" s="3"/>
      <c r="M16" s="3"/>
      <c r="N16" s="3"/>
      <c r="O16" s="5"/>
      <c r="P16" s="3"/>
      <c r="Q16" s="3"/>
    </row>
    <row r="17" spans="1:17" x14ac:dyDescent="0.15">
      <c r="A17" s="14" t="s">
        <v>47</v>
      </c>
      <c r="B17" s="15" t="s">
        <v>23</v>
      </c>
      <c r="C17" s="15" t="s">
        <v>26</v>
      </c>
      <c r="D17" s="15" t="s">
        <v>31</v>
      </c>
      <c r="E17" s="15" t="s">
        <v>32</v>
      </c>
      <c r="F17" s="15">
        <v>3</v>
      </c>
      <c r="L17" s="3"/>
      <c r="M17" s="3"/>
      <c r="N17" s="3"/>
      <c r="O17" s="5"/>
      <c r="P17" s="3"/>
      <c r="Q17" s="3"/>
    </row>
    <row r="18" spans="1:17" x14ac:dyDescent="0.15">
      <c r="A18" s="14" t="s">
        <v>47</v>
      </c>
      <c r="B18" s="15" t="s">
        <v>27</v>
      </c>
      <c r="C18" s="15" t="s">
        <v>28</v>
      </c>
      <c r="D18" s="15" t="s">
        <v>30</v>
      </c>
      <c r="E18" s="15" t="s">
        <v>25</v>
      </c>
      <c r="F18" s="15">
        <v>3</v>
      </c>
      <c r="L18" s="3"/>
      <c r="M18" s="3"/>
      <c r="N18" s="3"/>
      <c r="O18" s="5"/>
      <c r="P18" s="3"/>
      <c r="Q18" s="3"/>
    </row>
    <row r="19" spans="1:17" x14ac:dyDescent="0.15">
      <c r="A19" s="14" t="s">
        <v>47</v>
      </c>
      <c r="B19" s="15" t="s">
        <v>24</v>
      </c>
      <c r="C19" s="15" t="s">
        <v>32</v>
      </c>
      <c r="D19" s="15" t="s">
        <v>23</v>
      </c>
      <c r="E19" s="15" t="s">
        <v>31</v>
      </c>
      <c r="F19" s="15">
        <v>4</v>
      </c>
      <c r="L19" s="3"/>
      <c r="M19" s="3"/>
      <c r="N19" s="3"/>
      <c r="O19" s="5"/>
      <c r="P19" s="3"/>
      <c r="Q19" s="3"/>
    </row>
    <row r="20" spans="1:17" x14ac:dyDescent="0.15">
      <c r="A20" s="14" t="s">
        <v>47</v>
      </c>
      <c r="B20" s="15" t="s">
        <v>30</v>
      </c>
      <c r="C20" s="15" t="s">
        <v>31</v>
      </c>
      <c r="D20" s="15" t="s">
        <v>26</v>
      </c>
      <c r="E20" s="15" t="s">
        <v>28</v>
      </c>
      <c r="F20" s="15">
        <v>13</v>
      </c>
      <c r="L20" s="3"/>
      <c r="M20" s="3"/>
      <c r="N20" s="3"/>
      <c r="O20" s="5"/>
      <c r="P20" s="3"/>
      <c r="Q20" s="3"/>
    </row>
    <row r="21" spans="1:17" x14ac:dyDescent="0.15">
      <c r="A21" s="14" t="s">
        <v>47</v>
      </c>
      <c r="B21" s="15" t="s">
        <v>25</v>
      </c>
      <c r="C21" s="15" t="s">
        <v>27</v>
      </c>
      <c r="D21" s="15" t="s">
        <v>24</v>
      </c>
      <c r="E21" s="15" t="s">
        <v>23</v>
      </c>
      <c r="F21" s="15">
        <v>6</v>
      </c>
      <c r="L21" s="3"/>
      <c r="M21" s="3"/>
      <c r="N21" s="3"/>
      <c r="O21" s="5"/>
      <c r="P21" s="3"/>
      <c r="Q21" s="3"/>
    </row>
    <row r="22" spans="1:17" x14ac:dyDescent="0.15">
      <c r="A22" s="14" t="s">
        <v>47</v>
      </c>
      <c r="B22" s="15" t="s">
        <v>32</v>
      </c>
      <c r="C22" s="15" t="s">
        <v>28</v>
      </c>
      <c r="D22" s="15" t="s">
        <v>31</v>
      </c>
      <c r="E22" s="15" t="s">
        <v>26</v>
      </c>
      <c r="F22" s="15">
        <v>8</v>
      </c>
      <c r="L22" s="3"/>
      <c r="M22" s="3"/>
      <c r="N22" s="3"/>
      <c r="O22" s="5"/>
      <c r="P22" s="3"/>
      <c r="Q22" s="3"/>
    </row>
    <row r="23" spans="1:17" x14ac:dyDescent="0.15">
      <c r="A23" s="14" t="s">
        <v>47</v>
      </c>
      <c r="B23" s="15" t="s">
        <v>24</v>
      </c>
      <c r="C23" s="15" t="s">
        <v>28</v>
      </c>
      <c r="D23" s="15" t="s">
        <v>31</v>
      </c>
      <c r="E23" s="15" t="s">
        <v>32</v>
      </c>
      <c r="F23" s="15">
        <v>4</v>
      </c>
      <c r="L23" s="3"/>
      <c r="M23" s="3"/>
      <c r="N23" s="3"/>
      <c r="O23" s="5"/>
      <c r="P23" s="3"/>
      <c r="Q23" s="3"/>
    </row>
    <row r="24" spans="1:17" x14ac:dyDescent="0.15">
      <c r="A24" s="14" t="s">
        <v>47</v>
      </c>
      <c r="B24" s="15" t="s">
        <v>25</v>
      </c>
      <c r="C24" s="15" t="s">
        <v>28</v>
      </c>
      <c r="D24" s="15" t="s">
        <v>31</v>
      </c>
      <c r="E24" s="15" t="s">
        <v>32</v>
      </c>
      <c r="F24" s="15">
        <v>5</v>
      </c>
      <c r="O24" s="5"/>
    </row>
    <row r="25" spans="1:17" x14ac:dyDescent="0.15">
      <c r="A25" s="14" t="s">
        <v>47</v>
      </c>
      <c r="B25" s="15" t="s">
        <v>24</v>
      </c>
      <c r="C25" s="15" t="s">
        <v>33</v>
      </c>
      <c r="D25" s="15" t="s">
        <v>25</v>
      </c>
      <c r="E25" s="15" t="s">
        <v>28</v>
      </c>
      <c r="F25" s="15">
        <v>5</v>
      </c>
      <c r="O25" s="5"/>
    </row>
    <row r="26" spans="1:17" x14ac:dyDescent="0.15">
      <c r="A26" s="14" t="s">
        <v>47</v>
      </c>
      <c r="B26" s="15" t="s">
        <v>25</v>
      </c>
      <c r="C26" s="15" t="s">
        <v>28</v>
      </c>
      <c r="D26" s="15" t="s">
        <v>24</v>
      </c>
      <c r="E26" s="15" t="s">
        <v>33</v>
      </c>
      <c r="F26" s="15">
        <v>7</v>
      </c>
      <c r="O26" s="5"/>
    </row>
    <row r="27" spans="1:17" x14ac:dyDescent="0.15">
      <c r="A27" s="14" t="s">
        <v>48</v>
      </c>
      <c r="B27" s="15" t="s">
        <v>24</v>
      </c>
      <c r="C27" s="15" t="s">
        <v>49</v>
      </c>
      <c r="D27" s="15" t="s">
        <v>23</v>
      </c>
      <c r="E27" s="15" t="s">
        <v>50</v>
      </c>
      <c r="F27" s="16">
        <v>2</v>
      </c>
      <c r="O27" s="5"/>
    </row>
    <row r="28" spans="1:17" x14ac:dyDescent="0.15">
      <c r="A28" s="14" t="s">
        <v>48</v>
      </c>
      <c r="B28" s="15" t="s">
        <v>24</v>
      </c>
      <c r="C28" s="15" t="s">
        <v>49</v>
      </c>
      <c r="D28" s="15" t="s">
        <v>30</v>
      </c>
      <c r="E28" s="15" t="s">
        <v>50</v>
      </c>
      <c r="F28" s="16">
        <v>3</v>
      </c>
      <c r="O28" s="5"/>
    </row>
    <row r="29" spans="1:17" x14ac:dyDescent="0.15">
      <c r="A29" s="14" t="s">
        <v>48</v>
      </c>
      <c r="B29" s="15" t="s">
        <v>30</v>
      </c>
      <c r="C29" s="15" t="s">
        <v>51</v>
      </c>
      <c r="D29" s="15" t="s">
        <v>24</v>
      </c>
      <c r="E29" s="15" t="s">
        <v>50</v>
      </c>
      <c r="F29" s="16">
        <v>5</v>
      </c>
      <c r="O29" s="5"/>
    </row>
    <row r="30" spans="1:17" x14ac:dyDescent="0.15">
      <c r="A30" s="14" t="s">
        <v>48</v>
      </c>
      <c r="B30" s="15" t="s">
        <v>30</v>
      </c>
      <c r="C30" s="15" t="s">
        <v>51</v>
      </c>
      <c r="D30" s="15" t="s">
        <v>23</v>
      </c>
      <c r="E30" s="15" t="s">
        <v>49</v>
      </c>
      <c r="F30" s="16">
        <v>2</v>
      </c>
      <c r="O30" s="5"/>
    </row>
    <row r="31" spans="1:17" x14ac:dyDescent="0.15">
      <c r="A31" s="14" t="s">
        <v>48</v>
      </c>
      <c r="B31" s="15" t="s">
        <v>24</v>
      </c>
      <c r="C31" s="15" t="s">
        <v>30</v>
      </c>
      <c r="D31" s="15" t="s">
        <v>50</v>
      </c>
      <c r="E31" s="15" t="s">
        <v>49</v>
      </c>
      <c r="F31" s="16">
        <v>9</v>
      </c>
      <c r="O31" s="5"/>
    </row>
    <row r="32" spans="1:17" x14ac:dyDescent="0.15">
      <c r="A32" s="14" t="s">
        <v>48</v>
      </c>
      <c r="B32" s="15" t="s">
        <v>24</v>
      </c>
      <c r="C32" s="15" t="s">
        <v>30</v>
      </c>
      <c r="D32" s="15" t="s">
        <v>23</v>
      </c>
      <c r="E32" s="15" t="s">
        <v>51</v>
      </c>
      <c r="F32" s="16">
        <v>7</v>
      </c>
      <c r="O32" s="5"/>
    </row>
    <row r="33" spans="1:15" x14ac:dyDescent="0.15">
      <c r="A33" s="14" t="s">
        <v>48</v>
      </c>
      <c r="B33" s="15" t="s">
        <v>23</v>
      </c>
      <c r="C33" s="15" t="s">
        <v>51</v>
      </c>
      <c r="D33" s="15" t="s">
        <v>33</v>
      </c>
      <c r="E33" s="15" t="s">
        <v>49</v>
      </c>
      <c r="F33" s="16">
        <v>2</v>
      </c>
      <c r="O33" s="5"/>
    </row>
    <row r="34" spans="1:15" x14ac:dyDescent="0.15">
      <c r="A34" s="14" t="s">
        <v>48</v>
      </c>
      <c r="B34" s="15" t="s">
        <v>24</v>
      </c>
      <c r="C34" s="15" t="s">
        <v>33</v>
      </c>
      <c r="D34" s="15" t="s">
        <v>51</v>
      </c>
      <c r="E34" s="15" t="s">
        <v>49</v>
      </c>
      <c r="F34" s="16">
        <v>8</v>
      </c>
      <c r="O34" s="5"/>
    </row>
    <row r="35" spans="1:15" x14ac:dyDescent="0.15">
      <c r="A35" s="14" t="s">
        <v>48</v>
      </c>
      <c r="B35" s="15" t="s">
        <v>24</v>
      </c>
      <c r="C35" s="15" t="s">
        <v>33</v>
      </c>
      <c r="D35" s="15" t="s">
        <v>23</v>
      </c>
      <c r="E35" s="15" t="s">
        <v>30</v>
      </c>
      <c r="F35" s="16">
        <v>11</v>
      </c>
      <c r="O35" s="5"/>
    </row>
    <row r="36" spans="1:15" x14ac:dyDescent="0.15">
      <c r="A36" s="14" t="s">
        <v>48</v>
      </c>
      <c r="B36" s="15" t="s">
        <v>23</v>
      </c>
      <c r="C36" s="15" t="s">
        <v>30</v>
      </c>
      <c r="D36" s="15" t="s">
        <v>51</v>
      </c>
      <c r="E36" s="15" t="s">
        <v>49</v>
      </c>
      <c r="F36" s="16">
        <v>11</v>
      </c>
      <c r="O36" s="5"/>
    </row>
    <row r="37" spans="1:15" x14ac:dyDescent="0.15">
      <c r="A37" s="14" t="s">
        <v>48</v>
      </c>
      <c r="B37" s="15" t="s">
        <v>24</v>
      </c>
      <c r="C37" s="15" t="s">
        <v>51</v>
      </c>
      <c r="D37" s="15" t="s">
        <v>23</v>
      </c>
      <c r="E37" s="15" t="s">
        <v>33</v>
      </c>
      <c r="F37" s="16">
        <v>2</v>
      </c>
      <c r="O37" s="5"/>
    </row>
    <row r="38" spans="1:15" x14ac:dyDescent="0.15">
      <c r="A38" s="14" t="s">
        <v>48</v>
      </c>
      <c r="B38" s="15" t="s">
        <v>24</v>
      </c>
      <c r="C38" s="15" t="s">
        <v>51</v>
      </c>
      <c r="D38" s="15" t="s">
        <v>30</v>
      </c>
      <c r="E38" s="15" t="s">
        <v>49</v>
      </c>
      <c r="F38" s="16">
        <v>7</v>
      </c>
      <c r="O38" s="5"/>
    </row>
    <row r="39" spans="1:15" x14ac:dyDescent="0.15">
      <c r="A39" s="14" t="s">
        <v>48</v>
      </c>
      <c r="B39" s="15" t="s">
        <v>33</v>
      </c>
      <c r="C39" s="15" t="s">
        <v>51</v>
      </c>
      <c r="D39" s="15" t="s">
        <v>30</v>
      </c>
      <c r="E39" s="15" t="s">
        <v>49</v>
      </c>
      <c r="F39" s="16">
        <v>9</v>
      </c>
    </row>
    <row r="40" spans="1:15" x14ac:dyDescent="0.15">
      <c r="A40" s="14" t="s">
        <v>48</v>
      </c>
      <c r="B40" s="15" t="s">
        <v>33</v>
      </c>
      <c r="C40" s="15" t="s">
        <v>30</v>
      </c>
      <c r="D40" s="15" t="s">
        <v>24</v>
      </c>
      <c r="E40" s="15" t="s">
        <v>49</v>
      </c>
      <c r="F40" s="16">
        <v>6</v>
      </c>
    </row>
    <row r="41" spans="1:15" x14ac:dyDescent="0.15">
      <c r="A41" s="14" t="s">
        <v>48</v>
      </c>
      <c r="B41" s="15" t="s">
        <v>33</v>
      </c>
      <c r="C41" s="15" t="s">
        <v>49</v>
      </c>
      <c r="D41" s="15" t="s">
        <v>24</v>
      </c>
      <c r="E41" s="15" t="s">
        <v>30</v>
      </c>
      <c r="F41" s="16">
        <v>8</v>
      </c>
    </row>
    <row r="42" spans="1:15" x14ac:dyDescent="0.15">
      <c r="A42" s="14" t="s">
        <v>52</v>
      </c>
      <c r="B42" s="15" t="s">
        <v>23</v>
      </c>
      <c r="C42" s="15" t="s">
        <v>53</v>
      </c>
      <c r="D42" s="15" t="s">
        <v>33</v>
      </c>
      <c r="E42" s="15" t="s">
        <v>50</v>
      </c>
      <c r="F42" s="16">
        <v>2</v>
      </c>
    </row>
    <row r="43" spans="1:15" x14ac:dyDescent="0.15">
      <c r="A43" s="14" t="s">
        <v>52</v>
      </c>
      <c r="B43" s="15" t="s">
        <v>24</v>
      </c>
      <c r="C43" s="15" t="s">
        <v>30</v>
      </c>
      <c r="D43" s="15" t="s">
        <v>23</v>
      </c>
      <c r="E43" s="15" t="s">
        <v>53</v>
      </c>
      <c r="F43" s="16">
        <v>5</v>
      </c>
    </row>
    <row r="44" spans="1:15" x14ac:dyDescent="0.15">
      <c r="A44" s="14" t="s">
        <v>52</v>
      </c>
      <c r="B44" s="15" t="s">
        <v>27</v>
      </c>
      <c r="C44" s="15" t="s">
        <v>33</v>
      </c>
      <c r="D44" s="15" t="s">
        <v>24</v>
      </c>
      <c r="E44" s="15" t="s">
        <v>30</v>
      </c>
      <c r="F44" s="16">
        <v>2</v>
      </c>
    </row>
    <row r="45" spans="1:15" x14ac:dyDescent="0.15">
      <c r="A45" s="14" t="s">
        <v>52</v>
      </c>
      <c r="B45" s="15" t="s">
        <v>27</v>
      </c>
      <c r="C45" s="15" t="s">
        <v>33</v>
      </c>
      <c r="D45" s="15" t="s">
        <v>54</v>
      </c>
      <c r="E45" s="15" t="s">
        <v>50</v>
      </c>
      <c r="F45" s="16">
        <v>5</v>
      </c>
    </row>
    <row r="46" spans="1:15" x14ac:dyDescent="0.15">
      <c r="A46" s="14" t="s">
        <v>52</v>
      </c>
      <c r="B46" s="15" t="s">
        <v>27</v>
      </c>
      <c r="C46" s="15" t="s">
        <v>33</v>
      </c>
      <c r="D46" s="15" t="s">
        <v>24</v>
      </c>
      <c r="E46" s="15" t="s">
        <v>50</v>
      </c>
      <c r="F46" s="16">
        <v>2</v>
      </c>
    </row>
    <row r="47" spans="1:15" x14ac:dyDescent="0.15">
      <c r="A47" s="14" t="s">
        <v>52</v>
      </c>
      <c r="B47" s="15" t="s">
        <v>23</v>
      </c>
      <c r="C47" s="15" t="s">
        <v>54</v>
      </c>
      <c r="D47" s="15" t="s">
        <v>30</v>
      </c>
      <c r="E47" s="15" t="s">
        <v>53</v>
      </c>
      <c r="F47" s="16">
        <v>2</v>
      </c>
    </row>
    <row r="48" spans="1:15" x14ac:dyDescent="0.15">
      <c r="A48" s="14" t="s">
        <v>52</v>
      </c>
      <c r="B48" s="15" t="s">
        <v>23</v>
      </c>
      <c r="C48" s="15" t="s">
        <v>54</v>
      </c>
      <c r="D48" s="15" t="s">
        <v>30</v>
      </c>
      <c r="E48" s="15" t="s">
        <v>53</v>
      </c>
      <c r="F48" s="16">
        <v>7</v>
      </c>
    </row>
    <row r="49" spans="1:6" x14ac:dyDescent="0.15">
      <c r="A49" s="14" t="s">
        <v>52</v>
      </c>
      <c r="B49" s="15" t="s">
        <v>23</v>
      </c>
      <c r="C49" s="15" t="s">
        <v>27</v>
      </c>
      <c r="D49" s="15" t="s">
        <v>33</v>
      </c>
      <c r="E49" s="15" t="s">
        <v>54</v>
      </c>
      <c r="F49" s="16">
        <v>10</v>
      </c>
    </row>
    <row r="50" spans="1:6" x14ac:dyDescent="0.15">
      <c r="A50" s="14" t="s">
        <v>52</v>
      </c>
      <c r="B50" s="15" t="s">
        <v>23</v>
      </c>
      <c r="C50" s="15" t="s">
        <v>27</v>
      </c>
      <c r="D50" s="15" t="s">
        <v>33</v>
      </c>
      <c r="E50" s="15" t="s">
        <v>54</v>
      </c>
      <c r="F50" s="16">
        <v>13</v>
      </c>
    </row>
    <row r="51" spans="1:6" x14ac:dyDescent="0.15">
      <c r="A51" s="14" t="s">
        <v>52</v>
      </c>
      <c r="B51" s="15" t="s">
        <v>24</v>
      </c>
      <c r="C51" s="15" t="s">
        <v>53</v>
      </c>
      <c r="D51" s="15" t="s">
        <v>30</v>
      </c>
      <c r="E51" s="15" t="s">
        <v>50</v>
      </c>
      <c r="F51" s="16">
        <v>16</v>
      </c>
    </row>
    <row r="52" spans="1:6" x14ac:dyDescent="0.15">
      <c r="A52" s="14" t="s">
        <v>52</v>
      </c>
      <c r="B52" s="15" t="s">
        <v>24</v>
      </c>
      <c r="C52" s="15" t="s">
        <v>53</v>
      </c>
      <c r="D52" s="15" t="s">
        <v>30</v>
      </c>
      <c r="E52" s="15" t="s">
        <v>50</v>
      </c>
      <c r="F52" s="16">
        <v>5</v>
      </c>
    </row>
    <row r="53" spans="1:6" x14ac:dyDescent="0.15">
      <c r="A53" s="14" t="s">
        <v>52</v>
      </c>
      <c r="B53" s="15" t="s">
        <v>24</v>
      </c>
      <c r="C53" s="15" t="s">
        <v>23</v>
      </c>
      <c r="D53" s="15" t="s">
        <v>27</v>
      </c>
      <c r="E53" s="15" t="s">
        <v>53</v>
      </c>
      <c r="F53" s="16">
        <v>10</v>
      </c>
    </row>
    <row r="54" spans="1:6" x14ac:dyDescent="0.15">
      <c r="A54" s="14" t="s">
        <v>52</v>
      </c>
      <c r="B54" s="15" t="s">
        <v>24</v>
      </c>
      <c r="C54" s="15" t="s">
        <v>23</v>
      </c>
      <c r="D54" s="15" t="s">
        <v>33</v>
      </c>
      <c r="E54" s="15" t="s">
        <v>50</v>
      </c>
      <c r="F54" s="16">
        <v>16</v>
      </c>
    </row>
    <row r="55" spans="1:6" x14ac:dyDescent="0.15">
      <c r="A55" s="14" t="s">
        <v>52</v>
      </c>
      <c r="B55" s="15" t="s">
        <v>31</v>
      </c>
      <c r="C55" s="15" t="s">
        <v>30</v>
      </c>
      <c r="D55" s="15" t="s">
        <v>27</v>
      </c>
      <c r="E55" s="15" t="s">
        <v>54</v>
      </c>
      <c r="F55" s="16">
        <v>3</v>
      </c>
    </row>
    <row r="56" spans="1:6" x14ac:dyDescent="0.15">
      <c r="A56" s="14" t="s">
        <v>52</v>
      </c>
      <c r="B56" s="15" t="s">
        <v>33</v>
      </c>
      <c r="C56" s="15" t="s">
        <v>53</v>
      </c>
      <c r="D56" s="15" t="s">
        <v>24</v>
      </c>
      <c r="E56" s="15" t="s">
        <v>50</v>
      </c>
      <c r="F56" s="16">
        <v>7</v>
      </c>
    </row>
    <row r="57" spans="1:6" x14ac:dyDescent="0.15">
      <c r="A57" s="14" t="s">
        <v>52</v>
      </c>
      <c r="B57" s="15" t="s">
        <v>27</v>
      </c>
      <c r="C57" s="15" t="s">
        <v>54</v>
      </c>
      <c r="D57" s="15" t="s">
        <v>30</v>
      </c>
      <c r="E57" s="15" t="s">
        <v>31</v>
      </c>
      <c r="F57" s="16">
        <v>2</v>
      </c>
    </row>
    <row r="58" spans="1:6" x14ac:dyDescent="0.15">
      <c r="A58" s="14" t="s">
        <v>52</v>
      </c>
      <c r="B58" s="15" t="s">
        <v>24</v>
      </c>
      <c r="C58" s="15" t="s">
        <v>53</v>
      </c>
      <c r="D58" s="15" t="s">
        <v>30</v>
      </c>
      <c r="E58" s="15" t="s">
        <v>54</v>
      </c>
      <c r="F58" s="16">
        <v>5</v>
      </c>
    </row>
    <row r="59" spans="1:6" x14ac:dyDescent="0.15">
      <c r="A59" s="14" t="s">
        <v>52</v>
      </c>
      <c r="B59" s="15" t="s">
        <v>24</v>
      </c>
      <c r="C59" s="15" t="s">
        <v>53</v>
      </c>
      <c r="D59" s="15" t="s">
        <v>27</v>
      </c>
      <c r="E59" s="15" t="s">
        <v>31</v>
      </c>
      <c r="F59" s="16">
        <v>2</v>
      </c>
    </row>
    <row r="60" spans="1:6" x14ac:dyDescent="0.15">
      <c r="A60" s="14" t="s">
        <v>52</v>
      </c>
      <c r="B60" s="15" t="s">
        <v>30</v>
      </c>
      <c r="C60" s="15" t="s">
        <v>53</v>
      </c>
      <c r="D60" s="15" t="s">
        <v>50</v>
      </c>
      <c r="E60" s="15" t="s">
        <v>54</v>
      </c>
      <c r="F60" s="16">
        <v>10</v>
      </c>
    </row>
    <row r="61" spans="1:6" x14ac:dyDescent="0.15">
      <c r="A61" s="14" t="s">
        <v>52</v>
      </c>
      <c r="B61" s="15" t="s">
        <v>33</v>
      </c>
      <c r="C61" s="15" t="s">
        <v>24</v>
      </c>
      <c r="D61" s="15" t="s">
        <v>23</v>
      </c>
      <c r="E61" s="15" t="s">
        <v>50</v>
      </c>
      <c r="F61" s="16">
        <v>8</v>
      </c>
    </row>
    <row r="62" spans="1:6" x14ac:dyDescent="0.15">
      <c r="A62" s="14" t="s">
        <v>52</v>
      </c>
      <c r="B62" s="15" t="s">
        <v>30</v>
      </c>
      <c r="C62" s="15" t="s">
        <v>54</v>
      </c>
      <c r="D62" s="15" t="s">
        <v>27</v>
      </c>
      <c r="E62" s="15" t="s">
        <v>31</v>
      </c>
      <c r="F62" s="16">
        <v>7</v>
      </c>
    </row>
    <row r="63" spans="1:6" x14ac:dyDescent="0.15">
      <c r="A63" s="14" t="s">
        <v>52</v>
      </c>
      <c r="B63" s="15" t="s">
        <v>24</v>
      </c>
      <c r="C63" s="15" t="s">
        <v>53</v>
      </c>
      <c r="D63" s="15" t="s">
        <v>33</v>
      </c>
      <c r="E63" s="15" t="s">
        <v>31</v>
      </c>
      <c r="F63" s="16">
        <v>3</v>
      </c>
    </row>
    <row r="64" spans="1:6" x14ac:dyDescent="0.15">
      <c r="A64" s="14" t="s">
        <v>52</v>
      </c>
      <c r="B64" s="15" t="s">
        <v>33</v>
      </c>
      <c r="C64" s="15" t="s">
        <v>53</v>
      </c>
      <c r="D64" s="15" t="s">
        <v>30</v>
      </c>
      <c r="E64" s="15" t="s">
        <v>31</v>
      </c>
      <c r="F64" s="16">
        <v>11</v>
      </c>
    </row>
    <row r="65" spans="1:6" x14ac:dyDescent="0.15">
      <c r="A65" s="14" t="s">
        <v>52</v>
      </c>
      <c r="B65" s="15" t="s">
        <v>33</v>
      </c>
      <c r="C65" s="15" t="s">
        <v>53</v>
      </c>
      <c r="D65" s="15" t="s">
        <v>30</v>
      </c>
      <c r="E65" s="15" t="s">
        <v>31</v>
      </c>
      <c r="F65" s="16">
        <v>4</v>
      </c>
    </row>
    <row r="66" spans="1:6" x14ac:dyDescent="0.15">
      <c r="A66" s="14" t="s">
        <v>52</v>
      </c>
      <c r="B66" s="15" t="s">
        <v>24</v>
      </c>
      <c r="C66" s="15" t="s">
        <v>30</v>
      </c>
      <c r="D66" s="15" t="s">
        <v>33</v>
      </c>
      <c r="E66" s="15" t="s">
        <v>53</v>
      </c>
      <c r="F66" s="16">
        <v>10</v>
      </c>
    </row>
    <row r="67" spans="1:6" x14ac:dyDescent="0.15">
      <c r="A67" s="14" t="s">
        <v>52</v>
      </c>
      <c r="B67" s="15" t="s">
        <v>33</v>
      </c>
      <c r="C67" s="15" t="s">
        <v>53</v>
      </c>
      <c r="D67" s="15" t="s">
        <v>50</v>
      </c>
      <c r="E67" s="15" t="s">
        <v>31</v>
      </c>
      <c r="F67" s="16">
        <v>9</v>
      </c>
    </row>
    <row r="68" spans="1:6" x14ac:dyDescent="0.15">
      <c r="A68" s="17">
        <v>42071</v>
      </c>
      <c r="B68" s="15" t="s">
        <v>33</v>
      </c>
      <c r="C68" s="15" t="s">
        <v>27</v>
      </c>
      <c r="D68" s="15" t="s">
        <v>23</v>
      </c>
      <c r="E68" s="15" t="s">
        <v>55</v>
      </c>
      <c r="F68" s="16">
        <v>9</v>
      </c>
    </row>
    <row r="69" spans="1:6" x14ac:dyDescent="0.15">
      <c r="A69" s="17">
        <v>42071</v>
      </c>
      <c r="B69" s="15" t="s">
        <v>33</v>
      </c>
      <c r="C69" s="15" t="s">
        <v>27</v>
      </c>
      <c r="D69" s="15" t="s">
        <v>23</v>
      </c>
      <c r="E69" s="15" t="s">
        <v>55</v>
      </c>
      <c r="F69" s="16">
        <v>5</v>
      </c>
    </row>
    <row r="70" spans="1:6" x14ac:dyDescent="0.15">
      <c r="A70" s="17">
        <v>42071</v>
      </c>
      <c r="B70" s="15" t="s">
        <v>55</v>
      </c>
      <c r="C70" s="15" t="s">
        <v>27</v>
      </c>
      <c r="D70" s="15" t="s">
        <v>23</v>
      </c>
      <c r="E70" s="15" t="s">
        <v>53</v>
      </c>
      <c r="F70" s="16">
        <v>14</v>
      </c>
    </row>
    <row r="71" spans="1:6" x14ac:dyDescent="0.15">
      <c r="A71" s="17">
        <v>42071</v>
      </c>
      <c r="B71" s="15" t="s">
        <v>55</v>
      </c>
      <c r="C71" s="15" t="s">
        <v>27</v>
      </c>
      <c r="D71" s="15" t="s">
        <v>33</v>
      </c>
      <c r="E71" s="15" t="s">
        <v>53</v>
      </c>
      <c r="F71" s="16">
        <v>3</v>
      </c>
    </row>
    <row r="72" spans="1:6" x14ac:dyDescent="0.15">
      <c r="A72" s="17">
        <v>42071</v>
      </c>
      <c r="B72" s="15" t="s">
        <v>25</v>
      </c>
      <c r="C72" s="15" t="s">
        <v>55</v>
      </c>
      <c r="D72" s="15" t="s">
        <v>23</v>
      </c>
      <c r="E72" s="15" t="s">
        <v>51</v>
      </c>
      <c r="F72" s="16">
        <v>5</v>
      </c>
    </row>
    <row r="73" spans="1:6" x14ac:dyDescent="0.15">
      <c r="A73" s="17">
        <v>42071</v>
      </c>
      <c r="B73" s="15" t="s">
        <v>33</v>
      </c>
      <c r="C73" s="15" t="s">
        <v>55</v>
      </c>
      <c r="D73" s="15" t="s">
        <v>27</v>
      </c>
      <c r="E73" s="15" t="s">
        <v>53</v>
      </c>
      <c r="F73" s="16">
        <v>8</v>
      </c>
    </row>
    <row r="74" spans="1:6" x14ac:dyDescent="0.15">
      <c r="A74" s="17">
        <v>42071</v>
      </c>
      <c r="B74" s="15" t="s">
        <v>25</v>
      </c>
      <c r="C74" s="15" t="s">
        <v>55</v>
      </c>
      <c r="D74" s="15" t="s">
        <v>24</v>
      </c>
      <c r="E74" s="15" t="s">
        <v>56</v>
      </c>
      <c r="F74" s="16">
        <v>2</v>
      </c>
    </row>
    <row r="75" spans="1:6" x14ac:dyDescent="0.15">
      <c r="A75" s="17">
        <v>42071</v>
      </c>
      <c r="B75" s="15" t="s">
        <v>33</v>
      </c>
      <c r="C75" s="15" t="s">
        <v>27</v>
      </c>
      <c r="D75" s="15" t="s">
        <v>23</v>
      </c>
      <c r="E75" s="15" t="s">
        <v>51</v>
      </c>
      <c r="F75" s="16">
        <v>3</v>
      </c>
    </row>
    <row r="76" spans="1:6" x14ac:dyDescent="0.15">
      <c r="A76" s="17">
        <v>42071</v>
      </c>
      <c r="B76" s="15" t="s">
        <v>33</v>
      </c>
      <c r="C76" s="15" t="s">
        <v>27</v>
      </c>
      <c r="D76" s="15" t="s">
        <v>55</v>
      </c>
      <c r="E76" s="15" t="s">
        <v>57</v>
      </c>
      <c r="F76" s="16">
        <v>5</v>
      </c>
    </row>
    <row r="77" spans="1:6" x14ac:dyDescent="0.15">
      <c r="A77" s="17">
        <v>42071</v>
      </c>
      <c r="B77" s="15" t="s">
        <v>24</v>
      </c>
      <c r="C77" s="15" t="s">
        <v>56</v>
      </c>
      <c r="D77" s="15" t="s">
        <v>25</v>
      </c>
      <c r="E77" s="15" t="s">
        <v>57</v>
      </c>
      <c r="F77" s="16">
        <v>12</v>
      </c>
    </row>
    <row r="78" spans="1:6" x14ac:dyDescent="0.15">
      <c r="A78" s="17">
        <v>42071</v>
      </c>
      <c r="B78" s="15" t="s">
        <v>33</v>
      </c>
      <c r="C78" s="15" t="s">
        <v>51</v>
      </c>
      <c r="D78" s="15" t="s">
        <v>23</v>
      </c>
      <c r="E78" s="15" t="s">
        <v>53</v>
      </c>
      <c r="F78" s="16">
        <v>7</v>
      </c>
    </row>
    <row r="79" spans="1:6" x14ac:dyDescent="0.15">
      <c r="A79" s="17">
        <v>42071</v>
      </c>
      <c r="B79" s="15" t="s">
        <v>24</v>
      </c>
      <c r="C79" s="15" t="s">
        <v>58</v>
      </c>
      <c r="D79" s="15" t="s">
        <v>56</v>
      </c>
      <c r="E79" s="15" t="s">
        <v>54</v>
      </c>
      <c r="F79" s="16">
        <v>4</v>
      </c>
    </row>
    <row r="80" spans="1:6" x14ac:dyDescent="0.15">
      <c r="A80" s="17">
        <v>42071</v>
      </c>
      <c r="B80" s="15" t="s">
        <v>33</v>
      </c>
      <c r="C80" s="15" t="s">
        <v>51</v>
      </c>
      <c r="D80" s="15" t="s">
        <v>27</v>
      </c>
      <c r="E80" s="15" t="s">
        <v>27</v>
      </c>
      <c r="F80" s="16">
        <v>3</v>
      </c>
    </row>
    <row r="81" spans="1:6" x14ac:dyDescent="0.15">
      <c r="A81" s="17">
        <v>42071</v>
      </c>
      <c r="B81" s="15" t="s">
        <v>24</v>
      </c>
      <c r="C81" s="15" t="s">
        <v>58</v>
      </c>
      <c r="D81" s="15" t="s">
        <v>28</v>
      </c>
      <c r="E81" s="15" t="s">
        <v>51</v>
      </c>
      <c r="F81" s="16">
        <v>12</v>
      </c>
    </row>
    <row r="82" spans="1:6" x14ac:dyDescent="0.15">
      <c r="A82" s="17">
        <v>42071</v>
      </c>
      <c r="B82" s="15" t="s">
        <v>57</v>
      </c>
      <c r="C82" s="15" t="s">
        <v>23</v>
      </c>
      <c r="D82" s="15" t="s">
        <v>53</v>
      </c>
      <c r="E82" s="15" t="s">
        <v>25</v>
      </c>
      <c r="F82" s="16">
        <v>3</v>
      </c>
    </row>
    <row r="83" spans="1:6" x14ac:dyDescent="0.15">
      <c r="A83" s="17">
        <v>42071</v>
      </c>
      <c r="B83" s="15" t="s">
        <v>33</v>
      </c>
      <c r="C83" s="15" t="s">
        <v>54</v>
      </c>
      <c r="D83" s="15" t="s">
        <v>51</v>
      </c>
      <c r="E83" s="15" t="s">
        <v>28</v>
      </c>
      <c r="F83" s="16">
        <v>9</v>
      </c>
    </row>
    <row r="84" spans="1:6" x14ac:dyDescent="0.15">
      <c r="A84" s="17">
        <v>42071</v>
      </c>
      <c r="B84" s="15" t="s">
        <v>56</v>
      </c>
      <c r="C84" s="15" t="s">
        <v>27</v>
      </c>
      <c r="D84" s="15" t="s">
        <v>23</v>
      </c>
      <c r="E84" s="15" t="s">
        <v>57</v>
      </c>
      <c r="F84" s="16">
        <v>6</v>
      </c>
    </row>
    <row r="85" spans="1:6" x14ac:dyDescent="0.15">
      <c r="A85" s="17">
        <v>42071</v>
      </c>
      <c r="B85" s="15" t="s">
        <v>33</v>
      </c>
      <c r="C85" s="15" t="s">
        <v>54</v>
      </c>
      <c r="D85" s="15" t="s">
        <v>55</v>
      </c>
      <c r="E85" s="15" t="s">
        <v>53</v>
      </c>
      <c r="F85" s="16">
        <v>5</v>
      </c>
    </row>
    <row r="86" spans="1:6" x14ac:dyDescent="0.15">
      <c r="A86" s="17">
        <v>42071</v>
      </c>
      <c r="B86" s="15" t="s">
        <v>56</v>
      </c>
      <c r="C86" s="15" t="s">
        <v>27</v>
      </c>
      <c r="D86" s="15" t="s">
        <v>49</v>
      </c>
      <c r="E86" s="15" t="s">
        <v>51</v>
      </c>
      <c r="F86" s="16">
        <v>17</v>
      </c>
    </row>
    <row r="87" spans="1:6" x14ac:dyDescent="0.15">
      <c r="A87" s="17">
        <v>42071</v>
      </c>
      <c r="B87" s="15" t="s">
        <v>25</v>
      </c>
      <c r="C87" s="15" t="s">
        <v>28</v>
      </c>
      <c r="D87" s="15" t="s">
        <v>24</v>
      </c>
      <c r="E87" s="15" t="s">
        <v>58</v>
      </c>
      <c r="F87" s="16">
        <v>12</v>
      </c>
    </row>
    <row r="88" spans="1:6" x14ac:dyDescent="0.15">
      <c r="A88" s="17">
        <v>42071</v>
      </c>
      <c r="B88" s="15" t="s">
        <v>25</v>
      </c>
      <c r="C88" s="15" t="s">
        <v>28</v>
      </c>
      <c r="D88" s="15" t="s">
        <v>55</v>
      </c>
      <c r="E88" s="15" t="s">
        <v>57</v>
      </c>
      <c r="F88" s="16">
        <v>9</v>
      </c>
    </row>
    <row r="89" spans="1:6" x14ac:dyDescent="0.15">
      <c r="A89" s="17">
        <v>42071</v>
      </c>
      <c r="B89" s="15" t="s">
        <v>33</v>
      </c>
      <c r="C89" s="15" t="s">
        <v>54</v>
      </c>
      <c r="D89" s="15" t="s">
        <v>23</v>
      </c>
      <c r="E89" s="15" t="s">
        <v>53</v>
      </c>
      <c r="F89" s="16">
        <v>2</v>
      </c>
    </row>
    <row r="90" spans="1:6" x14ac:dyDescent="0.15">
      <c r="A90" s="17">
        <v>42071</v>
      </c>
      <c r="B90" s="15" t="s">
        <v>33</v>
      </c>
      <c r="C90" s="15" t="s">
        <v>54</v>
      </c>
      <c r="D90" s="15" t="s">
        <v>24</v>
      </c>
      <c r="E90" s="15" t="s">
        <v>53</v>
      </c>
      <c r="F90" s="16">
        <v>6</v>
      </c>
    </row>
    <row r="91" spans="1:6" x14ac:dyDescent="0.15">
      <c r="A91" s="17">
        <v>42071</v>
      </c>
      <c r="B91" s="15" t="s">
        <v>25</v>
      </c>
      <c r="C91" s="15" t="s">
        <v>58</v>
      </c>
      <c r="D91" s="15" t="s">
        <v>28</v>
      </c>
      <c r="E91" s="15" t="s">
        <v>23</v>
      </c>
      <c r="F91" s="16">
        <v>5</v>
      </c>
    </row>
    <row r="92" spans="1:6" x14ac:dyDescent="0.15">
      <c r="A92" s="17">
        <v>42071</v>
      </c>
      <c r="B92" s="15" t="s">
        <v>25</v>
      </c>
      <c r="C92" s="15" t="s">
        <v>58</v>
      </c>
      <c r="D92" s="15" t="s">
        <v>24</v>
      </c>
      <c r="E92" s="15" t="s">
        <v>54</v>
      </c>
      <c r="F92" s="16">
        <v>2</v>
      </c>
    </row>
    <row r="93" spans="1:6" x14ac:dyDescent="0.15">
      <c r="A93" s="17">
        <v>42071</v>
      </c>
      <c r="B93" s="15" t="s">
        <v>33</v>
      </c>
      <c r="C93" s="15" t="s">
        <v>28</v>
      </c>
      <c r="D93" s="15" t="s">
        <v>56</v>
      </c>
      <c r="E93" s="15" t="s">
        <v>53</v>
      </c>
      <c r="F93" s="16">
        <v>15</v>
      </c>
    </row>
    <row r="94" spans="1:6" x14ac:dyDescent="0.15">
      <c r="A94" s="17">
        <v>42071</v>
      </c>
      <c r="B94" s="15" t="s">
        <v>33</v>
      </c>
      <c r="C94" s="15" t="s">
        <v>28</v>
      </c>
      <c r="D94" s="15" t="s">
        <v>32</v>
      </c>
      <c r="E94" s="15" t="s">
        <v>57</v>
      </c>
      <c r="F94" s="16">
        <v>7</v>
      </c>
    </row>
    <row r="95" spans="1:6" x14ac:dyDescent="0.15">
      <c r="A95" s="17">
        <v>42078</v>
      </c>
      <c r="B95" s="15" t="s">
        <v>23</v>
      </c>
      <c r="C95" s="15" t="s">
        <v>28</v>
      </c>
      <c r="D95" s="15" t="s">
        <v>59</v>
      </c>
      <c r="E95" s="15" t="s">
        <v>55</v>
      </c>
      <c r="F95" s="16">
        <v>13</v>
      </c>
    </row>
    <row r="96" spans="1:6" x14ac:dyDescent="0.15">
      <c r="A96" s="17">
        <v>42078</v>
      </c>
      <c r="B96" s="15" t="s">
        <v>33</v>
      </c>
      <c r="C96" s="15" t="s">
        <v>28</v>
      </c>
      <c r="D96" s="15" t="s">
        <v>59</v>
      </c>
      <c r="E96" s="15" t="s">
        <v>55</v>
      </c>
      <c r="F96" s="16">
        <v>5</v>
      </c>
    </row>
    <row r="97" spans="1:6" x14ac:dyDescent="0.15">
      <c r="A97" s="17">
        <v>42078</v>
      </c>
      <c r="B97" s="15" t="s">
        <v>33</v>
      </c>
      <c r="C97" s="15" t="s">
        <v>28</v>
      </c>
      <c r="D97" s="15" t="s">
        <v>53</v>
      </c>
      <c r="E97" s="15" t="s">
        <v>60</v>
      </c>
      <c r="F97" s="16">
        <v>4</v>
      </c>
    </row>
    <row r="98" spans="1:6" x14ac:dyDescent="0.15">
      <c r="A98" s="17">
        <v>42078</v>
      </c>
      <c r="B98" s="15" t="s">
        <v>23</v>
      </c>
      <c r="C98" s="15" t="s">
        <v>53</v>
      </c>
      <c r="D98" s="15" t="s">
        <v>50</v>
      </c>
      <c r="E98" s="15" t="s">
        <v>60</v>
      </c>
      <c r="F98" s="16">
        <v>6</v>
      </c>
    </row>
    <row r="99" spans="1:6" x14ac:dyDescent="0.15">
      <c r="A99" s="17">
        <v>42078</v>
      </c>
      <c r="B99" s="15" t="s">
        <v>59</v>
      </c>
      <c r="C99" s="15" t="s">
        <v>50</v>
      </c>
      <c r="D99" s="15" t="s">
        <v>23</v>
      </c>
      <c r="E99" s="15" t="s">
        <v>50</v>
      </c>
      <c r="F99" s="16">
        <v>11</v>
      </c>
    </row>
    <row r="100" spans="1:6" x14ac:dyDescent="0.15">
      <c r="A100" s="17">
        <v>42078</v>
      </c>
      <c r="B100" s="15" t="s">
        <v>33</v>
      </c>
      <c r="C100" s="15" t="s">
        <v>54</v>
      </c>
      <c r="D100" s="15" t="s">
        <v>24</v>
      </c>
      <c r="E100" s="15" t="s">
        <v>50</v>
      </c>
      <c r="F100" s="16">
        <v>5</v>
      </c>
    </row>
    <row r="101" spans="1:6" x14ac:dyDescent="0.15">
      <c r="A101" s="17">
        <v>42078</v>
      </c>
      <c r="B101" s="15" t="s">
        <v>59</v>
      </c>
      <c r="C101" s="15" t="s">
        <v>60</v>
      </c>
      <c r="D101" s="15" t="s">
        <v>55</v>
      </c>
      <c r="E101" s="15" t="s">
        <v>56</v>
      </c>
      <c r="F101" s="16">
        <v>8</v>
      </c>
    </row>
    <row r="102" spans="1:6" x14ac:dyDescent="0.15">
      <c r="A102" s="17">
        <v>42078</v>
      </c>
      <c r="B102" s="15" t="s">
        <v>33</v>
      </c>
      <c r="C102" s="15" t="s">
        <v>54</v>
      </c>
      <c r="D102" s="15" t="s">
        <v>23</v>
      </c>
      <c r="E102" s="15" t="s">
        <v>49</v>
      </c>
      <c r="F102" s="16">
        <v>6</v>
      </c>
    </row>
    <row r="103" spans="1:6" x14ac:dyDescent="0.15">
      <c r="A103" s="17">
        <v>42078</v>
      </c>
      <c r="B103" s="15" t="s">
        <v>56</v>
      </c>
      <c r="C103" s="15" t="s">
        <v>49</v>
      </c>
      <c r="D103" s="15" t="s">
        <v>60</v>
      </c>
      <c r="E103" s="15" t="s">
        <v>28</v>
      </c>
      <c r="F103" s="16">
        <v>5</v>
      </c>
    </row>
    <row r="104" spans="1:6" x14ac:dyDescent="0.15">
      <c r="A104" s="17">
        <v>42078</v>
      </c>
      <c r="B104" s="15" t="s">
        <v>24</v>
      </c>
      <c r="C104" s="15" t="s">
        <v>53</v>
      </c>
      <c r="D104" s="15" t="s">
        <v>50</v>
      </c>
      <c r="E104" s="15" t="s">
        <v>55</v>
      </c>
      <c r="F104" s="16">
        <v>7</v>
      </c>
    </row>
    <row r="105" spans="1:6" x14ac:dyDescent="0.15">
      <c r="A105" s="17">
        <v>42078</v>
      </c>
      <c r="B105" s="15" t="s">
        <v>25</v>
      </c>
      <c r="C105" s="15" t="s">
        <v>32</v>
      </c>
      <c r="D105" s="15" t="s">
        <v>56</v>
      </c>
      <c r="E105" s="15" t="s">
        <v>49</v>
      </c>
      <c r="F105" s="16">
        <v>4</v>
      </c>
    </row>
    <row r="106" spans="1:6" x14ac:dyDescent="0.15">
      <c r="A106" s="17">
        <v>42078</v>
      </c>
      <c r="B106" s="15" t="s">
        <v>23</v>
      </c>
      <c r="C106" s="15" t="s">
        <v>59</v>
      </c>
      <c r="D106" s="15" t="s">
        <v>33</v>
      </c>
      <c r="E106" s="15" t="s">
        <v>54</v>
      </c>
      <c r="F106" s="16">
        <v>6</v>
      </c>
    </row>
    <row r="107" spans="1:6" x14ac:dyDescent="0.15">
      <c r="A107" s="17">
        <v>42078</v>
      </c>
      <c r="B107" s="15" t="s">
        <v>23</v>
      </c>
      <c r="C107" s="15" t="s">
        <v>28</v>
      </c>
      <c r="D107" s="15" t="s">
        <v>59</v>
      </c>
      <c r="E107" s="15" t="s">
        <v>57</v>
      </c>
      <c r="F107" s="16">
        <v>3</v>
      </c>
    </row>
    <row r="108" spans="1:6" x14ac:dyDescent="0.15">
      <c r="A108" s="17">
        <v>42078</v>
      </c>
      <c r="B108" s="15" t="s">
        <v>57</v>
      </c>
      <c r="C108" s="15" t="s">
        <v>24</v>
      </c>
      <c r="D108" s="15" t="s">
        <v>55</v>
      </c>
      <c r="E108" s="15" t="s">
        <v>60</v>
      </c>
      <c r="F108" s="16">
        <v>3</v>
      </c>
    </row>
    <row r="109" spans="1:6" x14ac:dyDescent="0.15">
      <c r="A109" s="17">
        <v>42078</v>
      </c>
      <c r="B109" s="15" t="s">
        <v>23</v>
      </c>
      <c r="C109" s="15" t="s">
        <v>56</v>
      </c>
      <c r="D109" s="15" t="s">
        <v>24</v>
      </c>
      <c r="E109" s="15" t="s">
        <v>33</v>
      </c>
      <c r="F109" s="16">
        <v>5</v>
      </c>
    </row>
    <row r="110" spans="1:6" x14ac:dyDescent="0.15">
      <c r="A110" s="17">
        <v>42078</v>
      </c>
      <c r="B110" s="15" t="s">
        <v>25</v>
      </c>
      <c r="C110" s="15" t="s">
        <v>53</v>
      </c>
      <c r="D110" s="15" t="s">
        <v>23</v>
      </c>
      <c r="E110" s="15" t="s">
        <v>56</v>
      </c>
      <c r="F110" s="16">
        <v>3</v>
      </c>
    </row>
    <row r="111" spans="1:6" x14ac:dyDescent="0.15">
      <c r="A111" s="17">
        <v>42078</v>
      </c>
      <c r="B111" s="15" t="s">
        <v>33</v>
      </c>
      <c r="C111" s="15" t="s">
        <v>51</v>
      </c>
      <c r="D111" s="15" t="s">
        <v>59</v>
      </c>
      <c r="E111" s="15" t="s">
        <v>32</v>
      </c>
      <c r="F111" s="16">
        <v>17</v>
      </c>
    </row>
    <row r="112" spans="1:6" x14ac:dyDescent="0.15">
      <c r="A112" s="17">
        <v>42078</v>
      </c>
      <c r="B112" s="15" t="s">
        <v>25</v>
      </c>
      <c r="C112" s="15" t="s">
        <v>53</v>
      </c>
      <c r="D112" s="15" t="s">
        <v>24</v>
      </c>
      <c r="E112" s="15" t="s">
        <v>55</v>
      </c>
      <c r="F112" s="16">
        <v>7</v>
      </c>
    </row>
    <row r="113" spans="1:6" x14ac:dyDescent="0.15">
      <c r="A113" s="17">
        <v>42078</v>
      </c>
      <c r="B113" s="15" t="s">
        <v>33</v>
      </c>
      <c r="C113" s="15" t="s">
        <v>54</v>
      </c>
      <c r="D113" s="15" t="s">
        <v>50</v>
      </c>
      <c r="E113" s="15" t="s">
        <v>51</v>
      </c>
      <c r="F113" s="16">
        <v>11</v>
      </c>
    </row>
    <row r="114" spans="1:6" x14ac:dyDescent="0.15">
      <c r="A114" s="17">
        <v>42078</v>
      </c>
      <c r="B114" s="15" t="s">
        <v>56</v>
      </c>
      <c r="C114" s="15" t="s">
        <v>28</v>
      </c>
      <c r="D114" s="15" t="s">
        <v>57</v>
      </c>
      <c r="E114" s="15" t="s">
        <v>49</v>
      </c>
      <c r="F114" s="16">
        <v>14</v>
      </c>
    </row>
    <row r="115" spans="1:6" x14ac:dyDescent="0.15">
      <c r="A115" s="17">
        <v>42078</v>
      </c>
      <c r="B115" s="15" t="s">
        <v>23</v>
      </c>
      <c r="C115" s="15" t="s">
        <v>54</v>
      </c>
      <c r="D115" s="15" t="s">
        <v>24</v>
      </c>
      <c r="E115" s="15" t="s">
        <v>32</v>
      </c>
      <c r="F115" s="16">
        <v>6</v>
      </c>
    </row>
    <row r="116" spans="1:6" x14ac:dyDescent="0.15">
      <c r="A116" s="17">
        <v>42078</v>
      </c>
      <c r="B116" s="15" t="s">
        <v>28</v>
      </c>
      <c r="C116" s="15" t="s">
        <v>54</v>
      </c>
      <c r="D116" s="15" t="s">
        <v>57</v>
      </c>
      <c r="E116" s="15" t="s">
        <v>51</v>
      </c>
      <c r="F116" s="16">
        <v>4</v>
      </c>
    </row>
    <row r="117" spans="1:6" x14ac:dyDescent="0.15">
      <c r="A117" s="17">
        <v>42078</v>
      </c>
      <c r="B117" s="15" t="s">
        <v>59</v>
      </c>
      <c r="C117" s="15" t="s">
        <v>51</v>
      </c>
      <c r="D117" s="15" t="s">
        <v>57</v>
      </c>
      <c r="E117" s="15" t="s">
        <v>23</v>
      </c>
      <c r="F117" s="16">
        <v>2</v>
      </c>
    </row>
    <row r="118" spans="1:6" x14ac:dyDescent="0.15">
      <c r="A118" s="17">
        <v>42078</v>
      </c>
      <c r="B118" s="15" t="s">
        <v>56</v>
      </c>
      <c r="C118" s="15" t="s">
        <v>32</v>
      </c>
      <c r="D118" s="15" t="s">
        <v>59</v>
      </c>
      <c r="E118" s="15" t="s">
        <v>51</v>
      </c>
      <c r="F118" s="16">
        <v>2</v>
      </c>
    </row>
    <row r="119" spans="1:6" x14ac:dyDescent="0.15">
      <c r="A119" s="17">
        <v>42078</v>
      </c>
      <c r="B119" s="15" t="s">
        <v>25</v>
      </c>
      <c r="C119" s="15" t="s">
        <v>28</v>
      </c>
      <c r="D119" s="15" t="s">
        <v>24</v>
      </c>
      <c r="E119" s="15" t="s">
        <v>54</v>
      </c>
      <c r="F119" s="16">
        <v>11</v>
      </c>
    </row>
    <row r="120" spans="1:6" x14ac:dyDescent="0.15">
      <c r="A120" s="17">
        <v>42078</v>
      </c>
      <c r="B120" s="15" t="s">
        <v>25</v>
      </c>
      <c r="C120" s="15" t="s">
        <v>51</v>
      </c>
      <c r="D120" s="15" t="s">
        <v>23</v>
      </c>
      <c r="E120" s="15" t="s">
        <v>33</v>
      </c>
      <c r="F120" s="16">
        <v>3</v>
      </c>
    </row>
    <row r="121" spans="1:6" x14ac:dyDescent="0.15">
      <c r="A121" s="17">
        <v>42078</v>
      </c>
      <c r="B121" s="15" t="s">
        <v>51</v>
      </c>
      <c r="C121" s="15" t="s">
        <v>54</v>
      </c>
      <c r="D121" s="15" t="s">
        <v>57</v>
      </c>
      <c r="E121" s="15" t="s">
        <v>50</v>
      </c>
      <c r="F121" s="16">
        <v>13</v>
      </c>
    </row>
    <row r="122" spans="1:6" x14ac:dyDescent="0.15">
      <c r="A122" s="17">
        <v>42078</v>
      </c>
      <c r="B122" s="15" t="s">
        <v>51</v>
      </c>
      <c r="C122" s="15" t="s">
        <v>54</v>
      </c>
      <c r="D122" s="15" t="s">
        <v>57</v>
      </c>
      <c r="E122" s="15" t="s">
        <v>32</v>
      </c>
      <c r="F122" s="16">
        <v>12</v>
      </c>
    </row>
    <row r="123" spans="1:6" x14ac:dyDescent="0.15">
      <c r="A123" s="17">
        <v>42078</v>
      </c>
      <c r="B123" s="15" t="s">
        <v>33</v>
      </c>
      <c r="C123" s="15" t="s">
        <v>54</v>
      </c>
      <c r="D123" s="15" t="s">
        <v>55</v>
      </c>
      <c r="E123" s="15" t="s">
        <v>28</v>
      </c>
      <c r="F123" s="16">
        <v>8</v>
      </c>
    </row>
    <row r="124" spans="1:6" x14ac:dyDescent="0.15">
      <c r="A124" s="17">
        <v>42078</v>
      </c>
      <c r="B124" s="15" t="s">
        <v>33</v>
      </c>
      <c r="C124" s="15" t="s">
        <v>54</v>
      </c>
      <c r="D124" s="15" t="s">
        <v>55</v>
      </c>
      <c r="E124" s="15" t="s">
        <v>28</v>
      </c>
      <c r="F124" s="16">
        <v>3</v>
      </c>
    </row>
    <row r="125" spans="1:6" x14ac:dyDescent="0.15">
      <c r="A125" s="17">
        <v>42078</v>
      </c>
      <c r="B125" s="15" t="s">
        <v>55</v>
      </c>
      <c r="C125" s="15" t="s">
        <v>28</v>
      </c>
      <c r="D125" s="15" t="s">
        <v>33</v>
      </c>
      <c r="E125" s="15" t="s">
        <v>54</v>
      </c>
      <c r="F125" s="16">
        <v>4</v>
      </c>
    </row>
    <row r="126" spans="1:6" x14ac:dyDescent="0.15">
      <c r="A126" s="17">
        <v>42078</v>
      </c>
      <c r="B126" s="15" t="s">
        <v>33</v>
      </c>
      <c r="C126" s="15" t="s">
        <v>28</v>
      </c>
      <c r="D126" s="15" t="s">
        <v>55</v>
      </c>
      <c r="E126" s="15" t="s">
        <v>32</v>
      </c>
      <c r="F126" s="16">
        <v>7</v>
      </c>
    </row>
    <row r="127" spans="1:6" x14ac:dyDescent="0.15">
      <c r="A127" s="17">
        <v>42092</v>
      </c>
      <c r="B127" s="15" t="s">
        <v>23</v>
      </c>
      <c r="C127" s="15" t="s">
        <v>55</v>
      </c>
      <c r="D127" s="15" t="s">
        <v>59</v>
      </c>
      <c r="E127" s="15" t="s">
        <v>53</v>
      </c>
      <c r="F127" s="16">
        <v>8</v>
      </c>
    </row>
    <row r="128" spans="1:6" x14ac:dyDescent="0.15">
      <c r="A128" s="17">
        <v>42092</v>
      </c>
      <c r="B128" s="15" t="s">
        <v>23</v>
      </c>
      <c r="C128" s="15" t="s">
        <v>55</v>
      </c>
      <c r="D128" s="15" t="s">
        <v>59</v>
      </c>
      <c r="E128" s="15" t="s">
        <v>53</v>
      </c>
      <c r="F128" s="16">
        <v>4</v>
      </c>
    </row>
    <row r="129" spans="1:6" x14ac:dyDescent="0.15">
      <c r="A129" s="17">
        <v>42092</v>
      </c>
      <c r="B129" s="15" t="s">
        <v>59</v>
      </c>
      <c r="C129" s="15" t="s">
        <v>55</v>
      </c>
      <c r="D129" s="15" t="s">
        <v>50</v>
      </c>
      <c r="E129" s="15" t="s">
        <v>51</v>
      </c>
      <c r="F129" s="16">
        <v>6</v>
      </c>
    </row>
    <row r="130" spans="1:6" x14ac:dyDescent="0.15">
      <c r="A130" s="17">
        <v>42092</v>
      </c>
      <c r="B130" s="15" t="s">
        <v>23</v>
      </c>
      <c r="C130" s="15" t="s">
        <v>51</v>
      </c>
      <c r="D130" s="15" t="s">
        <v>59</v>
      </c>
      <c r="E130" s="15" t="s">
        <v>33</v>
      </c>
      <c r="F130" s="16">
        <v>5</v>
      </c>
    </row>
    <row r="131" spans="1:6" x14ac:dyDescent="0.15">
      <c r="A131" s="17">
        <v>42092</v>
      </c>
      <c r="B131" s="15" t="s">
        <v>23</v>
      </c>
      <c r="C131" s="15" t="s">
        <v>53</v>
      </c>
      <c r="D131" s="15" t="s">
        <v>50</v>
      </c>
      <c r="E131" s="15" t="s">
        <v>58</v>
      </c>
      <c r="F131" s="16">
        <v>17</v>
      </c>
    </row>
    <row r="132" spans="1:6" x14ac:dyDescent="0.15">
      <c r="A132" s="17">
        <v>42092</v>
      </c>
      <c r="B132" s="15" t="s">
        <v>55</v>
      </c>
      <c r="C132" s="15" t="s">
        <v>49</v>
      </c>
      <c r="D132" s="15" t="s">
        <v>59</v>
      </c>
      <c r="E132" s="15" t="s">
        <v>51</v>
      </c>
      <c r="F132" s="16">
        <v>2</v>
      </c>
    </row>
    <row r="133" spans="1:6" x14ac:dyDescent="0.15">
      <c r="A133" s="17">
        <v>42092</v>
      </c>
      <c r="B133" s="15" t="s">
        <v>33</v>
      </c>
      <c r="C133" s="15" t="s">
        <v>54</v>
      </c>
      <c r="D133" s="15" t="s">
        <v>23</v>
      </c>
      <c r="E133" s="15" t="s">
        <v>61</v>
      </c>
      <c r="F133" s="16">
        <v>2</v>
      </c>
    </row>
    <row r="134" spans="1:6" x14ac:dyDescent="0.15">
      <c r="A134" s="17">
        <v>42092</v>
      </c>
      <c r="B134" s="15" t="s">
        <v>55</v>
      </c>
      <c r="C134" s="15" t="s">
        <v>49</v>
      </c>
      <c r="D134" s="15" t="s">
        <v>24</v>
      </c>
      <c r="E134" s="15" t="s">
        <v>50</v>
      </c>
      <c r="F134" s="16">
        <v>3</v>
      </c>
    </row>
    <row r="135" spans="1:6" x14ac:dyDescent="0.15">
      <c r="A135" s="17">
        <v>42092</v>
      </c>
      <c r="B135" s="15" t="s">
        <v>59</v>
      </c>
      <c r="C135" s="15" t="s">
        <v>53</v>
      </c>
      <c r="D135" s="15" t="s">
        <v>33</v>
      </c>
      <c r="E135" s="15" t="s">
        <v>54</v>
      </c>
      <c r="F135" s="16">
        <v>4</v>
      </c>
    </row>
    <row r="136" spans="1:6" x14ac:dyDescent="0.15">
      <c r="A136" s="17">
        <v>42092</v>
      </c>
      <c r="B136" s="15" t="s">
        <v>59</v>
      </c>
      <c r="C136" s="15" t="s">
        <v>53</v>
      </c>
      <c r="D136" s="15" t="s">
        <v>51</v>
      </c>
      <c r="E136" s="15" t="s">
        <v>61</v>
      </c>
      <c r="F136" s="16">
        <v>6</v>
      </c>
    </row>
    <row r="137" spans="1:6" x14ac:dyDescent="0.15">
      <c r="A137" s="17">
        <v>42092</v>
      </c>
      <c r="B137" s="15" t="s">
        <v>24</v>
      </c>
      <c r="C137" s="15" t="s">
        <v>23</v>
      </c>
      <c r="D137" s="15" t="s">
        <v>33</v>
      </c>
      <c r="E137" s="15" t="s">
        <v>54</v>
      </c>
      <c r="F137" s="16">
        <v>2</v>
      </c>
    </row>
    <row r="138" spans="1:6" x14ac:dyDescent="0.15">
      <c r="A138" s="17">
        <v>42092</v>
      </c>
      <c r="B138" s="15" t="s">
        <v>23</v>
      </c>
      <c r="C138" s="15" t="s">
        <v>53</v>
      </c>
      <c r="D138" s="15" t="s">
        <v>24</v>
      </c>
      <c r="E138" s="15" t="s">
        <v>50</v>
      </c>
      <c r="F138" s="16">
        <v>9</v>
      </c>
    </row>
    <row r="139" spans="1:6" x14ac:dyDescent="0.15">
      <c r="A139" s="17">
        <v>42092</v>
      </c>
      <c r="B139" s="15" t="s">
        <v>33</v>
      </c>
      <c r="C139" s="15" t="s">
        <v>54</v>
      </c>
      <c r="D139" s="15" t="s">
        <v>55</v>
      </c>
      <c r="E139" s="15" t="s">
        <v>49</v>
      </c>
      <c r="F139" s="16">
        <v>2</v>
      </c>
    </row>
    <row r="140" spans="1:6" x14ac:dyDescent="0.15">
      <c r="A140" s="17">
        <v>42092</v>
      </c>
      <c r="B140" s="15" t="s">
        <v>59</v>
      </c>
      <c r="C140" s="15" t="s">
        <v>51</v>
      </c>
      <c r="D140" s="15" t="s">
        <v>50</v>
      </c>
      <c r="E140" s="15" t="s">
        <v>53</v>
      </c>
      <c r="F140" s="16">
        <v>7</v>
      </c>
    </row>
    <row r="141" spans="1:6" x14ac:dyDescent="0.15">
      <c r="A141" s="17">
        <v>42092</v>
      </c>
      <c r="B141" s="15" t="s">
        <v>55</v>
      </c>
      <c r="C141" s="15" t="s">
        <v>49</v>
      </c>
      <c r="D141" s="15" t="s">
        <v>51</v>
      </c>
      <c r="E141" s="15" t="s">
        <v>61</v>
      </c>
      <c r="F141" s="16">
        <v>3</v>
      </c>
    </row>
    <row r="142" spans="1:6" x14ac:dyDescent="0.15">
      <c r="A142" s="17">
        <v>42092</v>
      </c>
      <c r="B142" s="15" t="s">
        <v>33</v>
      </c>
      <c r="C142" s="15" t="s">
        <v>54</v>
      </c>
      <c r="D142" s="15" t="s">
        <v>57</v>
      </c>
      <c r="E142" s="15" t="s">
        <v>61</v>
      </c>
      <c r="F142" s="16">
        <v>8</v>
      </c>
    </row>
    <row r="143" spans="1:6" x14ac:dyDescent="0.15">
      <c r="A143" s="17">
        <v>42092</v>
      </c>
      <c r="B143" s="15" t="s">
        <v>59</v>
      </c>
      <c r="C143" s="15" t="s">
        <v>51</v>
      </c>
      <c r="D143" s="15" t="s">
        <v>23</v>
      </c>
      <c r="E143" s="15" t="s">
        <v>24</v>
      </c>
      <c r="F143" s="16">
        <v>2</v>
      </c>
    </row>
    <row r="144" spans="1:6" x14ac:dyDescent="0.15">
      <c r="A144" s="17">
        <v>42092</v>
      </c>
      <c r="B144" s="15" t="s">
        <v>55</v>
      </c>
      <c r="C144" s="15" t="s">
        <v>53</v>
      </c>
      <c r="D144" s="15" t="s">
        <v>57</v>
      </c>
      <c r="E144" s="15" t="s">
        <v>61</v>
      </c>
      <c r="F144" s="16">
        <v>4</v>
      </c>
    </row>
    <row r="145" spans="1:6" x14ac:dyDescent="0.15">
      <c r="A145" s="17">
        <v>42092</v>
      </c>
      <c r="B145" s="15" t="s">
        <v>33</v>
      </c>
      <c r="C145" s="15" t="s">
        <v>54</v>
      </c>
      <c r="D145" s="15" t="s">
        <v>50</v>
      </c>
      <c r="E145" s="15" t="s">
        <v>49</v>
      </c>
      <c r="F145" s="16">
        <v>8</v>
      </c>
    </row>
    <row r="146" spans="1:6" x14ac:dyDescent="0.15">
      <c r="A146" s="17">
        <v>42092</v>
      </c>
      <c r="B146" s="15" t="s">
        <v>33</v>
      </c>
      <c r="C146" s="15" t="s">
        <v>54</v>
      </c>
      <c r="D146" s="15" t="s">
        <v>50</v>
      </c>
      <c r="E146" s="15" t="s">
        <v>49</v>
      </c>
      <c r="F146" s="16">
        <v>11</v>
      </c>
    </row>
    <row r="147" spans="1:6" x14ac:dyDescent="0.15">
      <c r="A147" s="17">
        <v>42092</v>
      </c>
      <c r="B147" s="15" t="s">
        <v>57</v>
      </c>
      <c r="C147" s="15" t="s">
        <v>61</v>
      </c>
      <c r="D147" s="15" t="s">
        <v>55</v>
      </c>
      <c r="E147" s="15" t="s">
        <v>53</v>
      </c>
      <c r="F147" s="16">
        <v>10</v>
      </c>
    </row>
    <row r="148" spans="1:6" x14ac:dyDescent="0.15">
      <c r="A148" s="17">
        <v>42092</v>
      </c>
      <c r="B148" s="15" t="s">
        <v>24</v>
      </c>
      <c r="C148" s="15" t="s">
        <v>57</v>
      </c>
      <c r="D148" s="15" t="s">
        <v>59</v>
      </c>
      <c r="E148" s="15" t="s">
        <v>61</v>
      </c>
      <c r="F148" s="16">
        <v>7</v>
      </c>
    </row>
    <row r="149" spans="1:6" x14ac:dyDescent="0.15">
      <c r="A149" s="17">
        <v>42092</v>
      </c>
      <c r="B149" s="15" t="s">
        <v>59</v>
      </c>
      <c r="C149" s="15" t="s">
        <v>61</v>
      </c>
      <c r="D149" s="15" t="s">
        <v>24</v>
      </c>
      <c r="E149" s="15" t="s">
        <v>57</v>
      </c>
      <c r="F149" s="16">
        <v>2</v>
      </c>
    </row>
    <row r="150" spans="1:6" x14ac:dyDescent="0.15">
      <c r="A150" s="17">
        <v>42092</v>
      </c>
      <c r="B150" s="15" t="s">
        <v>59</v>
      </c>
      <c r="C150" s="15" t="s">
        <v>61</v>
      </c>
      <c r="D150" s="15" t="s">
        <v>24</v>
      </c>
      <c r="E150" s="15" t="s">
        <v>57</v>
      </c>
      <c r="F150" s="16">
        <v>5</v>
      </c>
    </row>
    <row r="151" spans="1:6" x14ac:dyDescent="0.15">
      <c r="A151" s="17">
        <v>42092</v>
      </c>
      <c r="B151" s="15" t="s">
        <v>23</v>
      </c>
      <c r="C151" s="15" t="s">
        <v>53</v>
      </c>
      <c r="D151" s="15" t="s">
        <v>33</v>
      </c>
      <c r="E151" s="15" t="s">
        <v>50</v>
      </c>
      <c r="F151" s="16">
        <v>7</v>
      </c>
    </row>
    <row r="152" spans="1:6" x14ac:dyDescent="0.15">
      <c r="A152" s="17">
        <v>42092</v>
      </c>
      <c r="B152" s="15" t="s">
        <v>23</v>
      </c>
      <c r="C152" s="15" t="s">
        <v>53</v>
      </c>
      <c r="D152" s="15" t="s">
        <v>59</v>
      </c>
      <c r="E152" s="15" t="s">
        <v>61</v>
      </c>
      <c r="F152" s="16">
        <v>2</v>
      </c>
    </row>
    <row r="153" spans="1:6" x14ac:dyDescent="0.15">
      <c r="A153" s="17">
        <v>42092</v>
      </c>
      <c r="B153" s="15" t="s">
        <v>55</v>
      </c>
      <c r="C153" s="15" t="s">
        <v>54</v>
      </c>
      <c r="D153" s="15" t="s">
        <v>51</v>
      </c>
      <c r="E153" s="15" t="s">
        <v>49</v>
      </c>
      <c r="F153" s="16">
        <v>3</v>
      </c>
    </row>
    <row r="154" spans="1:6" x14ac:dyDescent="0.15">
      <c r="A154" s="17">
        <v>42092</v>
      </c>
      <c r="B154" s="15" t="s">
        <v>23</v>
      </c>
      <c r="C154" s="15" t="s">
        <v>53</v>
      </c>
      <c r="D154" s="15" t="s">
        <v>24</v>
      </c>
      <c r="E154" s="15" t="s">
        <v>50</v>
      </c>
      <c r="F154" s="16">
        <v>4</v>
      </c>
    </row>
    <row r="155" spans="1:6" x14ac:dyDescent="0.15">
      <c r="A155" s="17">
        <v>42092</v>
      </c>
      <c r="B155" s="15" t="s">
        <v>49</v>
      </c>
      <c r="C155" s="15" t="s">
        <v>51</v>
      </c>
      <c r="D155" s="15" t="s">
        <v>33</v>
      </c>
      <c r="E155" s="15" t="s">
        <v>57</v>
      </c>
      <c r="F155" s="16">
        <v>9</v>
      </c>
    </row>
    <row r="156" spans="1:6" x14ac:dyDescent="0.15">
      <c r="A156" s="17">
        <v>42092</v>
      </c>
      <c r="B156" s="15" t="s">
        <v>50</v>
      </c>
      <c r="C156" s="15" t="s">
        <v>54</v>
      </c>
      <c r="D156" s="15" t="s">
        <v>56</v>
      </c>
      <c r="E156" s="15" t="s">
        <v>53</v>
      </c>
      <c r="F156" s="16">
        <v>2</v>
      </c>
    </row>
    <row r="157" spans="1:6" x14ac:dyDescent="0.15">
      <c r="A157" s="17">
        <v>42092</v>
      </c>
      <c r="B157" s="15" t="s">
        <v>56</v>
      </c>
      <c r="C157" s="15" t="s">
        <v>53</v>
      </c>
      <c r="D157" s="15" t="s">
        <v>24</v>
      </c>
      <c r="E157" s="15" t="s">
        <v>49</v>
      </c>
      <c r="F157" s="16">
        <v>3</v>
      </c>
    </row>
    <row r="158" spans="1:6" x14ac:dyDescent="0.15">
      <c r="A158" s="17">
        <v>42092</v>
      </c>
      <c r="B158" s="15" t="s">
        <v>51</v>
      </c>
      <c r="C158" s="15" t="s">
        <v>54</v>
      </c>
      <c r="D158" s="15" t="s">
        <v>55</v>
      </c>
      <c r="E158" s="15" t="s">
        <v>50</v>
      </c>
      <c r="F158" s="16">
        <v>2</v>
      </c>
    </row>
    <row r="159" spans="1:6" x14ac:dyDescent="0.15">
      <c r="A159" s="17">
        <v>42092</v>
      </c>
      <c r="B159" s="15" t="s">
        <v>24</v>
      </c>
      <c r="C159" s="15" t="s">
        <v>49</v>
      </c>
      <c r="D159" s="15" t="s">
        <v>51</v>
      </c>
      <c r="E159" s="15" t="s">
        <v>54</v>
      </c>
      <c r="F159" s="16">
        <v>7</v>
      </c>
    </row>
    <row r="160" spans="1:6" x14ac:dyDescent="0.15">
      <c r="A160" s="17">
        <v>42092</v>
      </c>
      <c r="B160" s="15" t="s">
        <v>24</v>
      </c>
      <c r="C160" s="15" t="s">
        <v>49</v>
      </c>
      <c r="D160" s="15" t="s">
        <v>56</v>
      </c>
      <c r="E160" s="15" t="s">
        <v>57</v>
      </c>
      <c r="F160" s="16">
        <v>5</v>
      </c>
    </row>
    <row r="161" spans="1:6" x14ac:dyDescent="0.15">
      <c r="A161" s="17">
        <v>42092</v>
      </c>
      <c r="B161" s="15" t="s">
        <v>33</v>
      </c>
      <c r="C161" s="15" t="s">
        <v>56</v>
      </c>
      <c r="D161" s="15" t="s">
        <v>55</v>
      </c>
      <c r="E161" s="15" t="s">
        <v>54</v>
      </c>
      <c r="F161" s="16">
        <v>7</v>
      </c>
    </row>
    <row r="162" spans="1:6" x14ac:dyDescent="0.15">
      <c r="A162" s="17">
        <v>42092</v>
      </c>
      <c r="B162" s="15" t="s">
        <v>33</v>
      </c>
      <c r="C162" s="15" t="s">
        <v>57</v>
      </c>
      <c r="D162" s="15" t="s">
        <v>54</v>
      </c>
      <c r="E162" s="15" t="s">
        <v>53</v>
      </c>
      <c r="F162" s="16">
        <v>9</v>
      </c>
    </row>
    <row r="163" spans="1:6" x14ac:dyDescent="0.15">
      <c r="A163" s="17">
        <v>42092</v>
      </c>
      <c r="B163" s="15" t="s">
        <v>56</v>
      </c>
      <c r="C163" s="15" t="s">
        <v>54</v>
      </c>
      <c r="D163" s="15" t="s">
        <v>49</v>
      </c>
      <c r="E163" s="15" t="s">
        <v>53</v>
      </c>
      <c r="F163" s="16">
        <v>9</v>
      </c>
    </row>
    <row r="164" spans="1:6" x14ac:dyDescent="0.15">
      <c r="A164" s="17">
        <v>42092</v>
      </c>
      <c r="B164" s="15" t="s">
        <v>33</v>
      </c>
      <c r="C164" s="15" t="s">
        <v>54</v>
      </c>
      <c r="D164" s="15" t="s">
        <v>56</v>
      </c>
      <c r="E164" s="15" t="s">
        <v>57</v>
      </c>
      <c r="F164" s="16">
        <v>4</v>
      </c>
    </row>
    <row r="165" spans="1:6" x14ac:dyDescent="0.15">
      <c r="A165" s="17">
        <v>42099</v>
      </c>
      <c r="B165" s="15" t="s">
        <v>55</v>
      </c>
      <c r="C165" s="15" t="s">
        <v>56</v>
      </c>
      <c r="D165" s="15" t="s">
        <v>59</v>
      </c>
      <c r="E165" s="15" t="s">
        <v>50</v>
      </c>
      <c r="F165" s="16">
        <v>8</v>
      </c>
    </row>
    <row r="166" spans="1:6" x14ac:dyDescent="0.15">
      <c r="A166" s="17">
        <v>42099</v>
      </c>
      <c r="B166" s="15" t="s">
        <v>33</v>
      </c>
      <c r="C166" s="15" t="s">
        <v>51</v>
      </c>
      <c r="D166" s="15" t="s">
        <v>55</v>
      </c>
      <c r="E166" s="15" t="s">
        <v>56</v>
      </c>
      <c r="F166" s="16">
        <v>2</v>
      </c>
    </row>
    <row r="167" spans="1:6" x14ac:dyDescent="0.15">
      <c r="A167" s="17">
        <v>42099</v>
      </c>
      <c r="B167" s="15" t="s">
        <v>33</v>
      </c>
      <c r="C167" s="15" t="s">
        <v>51</v>
      </c>
      <c r="D167" s="15" t="s">
        <v>56</v>
      </c>
      <c r="E167" s="15" t="s">
        <v>54</v>
      </c>
      <c r="F167" s="16">
        <v>6</v>
      </c>
    </row>
    <row r="168" spans="1:6" x14ac:dyDescent="0.15">
      <c r="A168" s="17">
        <v>42099</v>
      </c>
      <c r="B168" s="15" t="s">
        <v>24</v>
      </c>
      <c r="C168" s="15" t="s">
        <v>61</v>
      </c>
      <c r="D168" s="15" t="s">
        <v>33</v>
      </c>
      <c r="E168" s="15" t="s">
        <v>54</v>
      </c>
      <c r="F168" s="16">
        <v>2</v>
      </c>
    </row>
    <row r="169" spans="1:6" x14ac:dyDescent="0.15">
      <c r="A169" s="17">
        <v>42099</v>
      </c>
      <c r="B169" s="15" t="s">
        <v>24</v>
      </c>
      <c r="C169" s="15" t="s">
        <v>61</v>
      </c>
      <c r="D169" s="15" t="s">
        <v>55</v>
      </c>
      <c r="E169" s="15" t="s">
        <v>49</v>
      </c>
      <c r="F169" s="16">
        <v>16</v>
      </c>
    </row>
    <row r="170" spans="1:6" x14ac:dyDescent="0.15">
      <c r="A170" s="17">
        <v>42099</v>
      </c>
      <c r="B170" s="15" t="s">
        <v>56</v>
      </c>
      <c r="C170" s="15" t="s">
        <v>54</v>
      </c>
      <c r="D170" s="15" t="s">
        <v>59</v>
      </c>
      <c r="E170" s="15" t="s">
        <v>51</v>
      </c>
      <c r="F170" s="16">
        <v>5</v>
      </c>
    </row>
    <row r="171" spans="1:6" x14ac:dyDescent="0.15">
      <c r="A171" s="17">
        <v>42099</v>
      </c>
      <c r="B171" s="15" t="s">
        <v>33</v>
      </c>
      <c r="C171" s="15" t="s">
        <v>50</v>
      </c>
      <c r="D171" s="15" t="s">
        <v>55</v>
      </c>
      <c r="E171" s="15" t="s">
        <v>49</v>
      </c>
      <c r="F171" s="16">
        <v>3</v>
      </c>
    </row>
    <row r="172" spans="1:6" x14ac:dyDescent="0.15">
      <c r="A172" s="17">
        <v>42099</v>
      </c>
      <c r="B172" s="15" t="s">
        <v>24</v>
      </c>
      <c r="C172" s="15" t="s">
        <v>61</v>
      </c>
      <c r="D172" s="15" t="s">
        <v>56</v>
      </c>
      <c r="E172" s="15" t="s">
        <v>54</v>
      </c>
      <c r="F172" s="16">
        <v>9</v>
      </c>
    </row>
    <row r="173" spans="1:6" x14ac:dyDescent="0.15">
      <c r="A173" s="17">
        <v>42099</v>
      </c>
      <c r="B173" s="15" t="s">
        <v>55</v>
      </c>
      <c r="C173" s="15" t="s">
        <v>49</v>
      </c>
      <c r="D173" s="15" t="s">
        <v>24</v>
      </c>
      <c r="E173" s="15" t="s">
        <v>61</v>
      </c>
      <c r="F173" s="16">
        <v>2</v>
      </c>
    </row>
    <row r="174" spans="1:6" x14ac:dyDescent="0.15">
      <c r="A174" s="17">
        <v>42099</v>
      </c>
      <c r="B174" s="15" t="s">
        <v>55</v>
      </c>
      <c r="C174" s="15" t="s">
        <v>32</v>
      </c>
      <c r="D174" s="15" t="s">
        <v>57</v>
      </c>
      <c r="E174" s="15" t="s">
        <v>51</v>
      </c>
      <c r="F174" s="16">
        <v>10</v>
      </c>
    </row>
    <row r="175" spans="1:6" x14ac:dyDescent="0.15">
      <c r="A175" s="17">
        <v>42099</v>
      </c>
      <c r="B175" s="15" t="s">
        <v>33</v>
      </c>
      <c r="C175" s="15" t="s">
        <v>61</v>
      </c>
      <c r="D175" s="15" t="s">
        <v>55</v>
      </c>
      <c r="E175" s="15" t="s">
        <v>32</v>
      </c>
      <c r="F175" s="16">
        <v>8</v>
      </c>
    </row>
    <row r="176" spans="1:6" x14ac:dyDescent="0.15">
      <c r="A176" s="17">
        <v>42099</v>
      </c>
      <c r="B176" s="15" t="s">
        <v>59</v>
      </c>
      <c r="C176" s="15" t="s">
        <v>54</v>
      </c>
      <c r="D176" s="15" t="s">
        <v>24</v>
      </c>
      <c r="E176" s="15" t="s">
        <v>49</v>
      </c>
      <c r="F176" s="16">
        <v>2</v>
      </c>
    </row>
    <row r="177" spans="1:6" x14ac:dyDescent="0.15">
      <c r="A177" s="17">
        <v>42099</v>
      </c>
      <c r="B177" s="15" t="s">
        <v>33</v>
      </c>
      <c r="C177" s="15" t="s">
        <v>61</v>
      </c>
      <c r="D177" s="15" t="s">
        <v>56</v>
      </c>
      <c r="E177" s="15" t="s">
        <v>57</v>
      </c>
      <c r="F177" s="16">
        <v>8</v>
      </c>
    </row>
    <row r="178" spans="1:6" x14ac:dyDescent="0.15">
      <c r="A178" s="17">
        <v>42099</v>
      </c>
      <c r="B178" s="15" t="s">
        <v>59</v>
      </c>
      <c r="C178" s="15" t="s">
        <v>54</v>
      </c>
      <c r="D178" s="15" t="s">
        <v>24</v>
      </c>
      <c r="E178" s="15" t="s">
        <v>55</v>
      </c>
      <c r="F178" s="16">
        <v>3</v>
      </c>
    </row>
    <row r="179" spans="1:6" x14ac:dyDescent="0.15">
      <c r="A179" s="17">
        <v>42099</v>
      </c>
      <c r="B179" s="15" t="s">
        <v>33</v>
      </c>
      <c r="C179" s="15" t="s">
        <v>54</v>
      </c>
      <c r="D179" s="15" t="s">
        <v>56</v>
      </c>
      <c r="E179" s="15" t="s">
        <v>49</v>
      </c>
      <c r="F179" s="16">
        <v>12</v>
      </c>
    </row>
    <row r="180" spans="1:6" x14ac:dyDescent="0.15">
      <c r="A180" s="17">
        <v>42099</v>
      </c>
      <c r="B180" s="15" t="s">
        <v>24</v>
      </c>
      <c r="C180" s="15" t="s">
        <v>55</v>
      </c>
      <c r="D180" s="15" t="s">
        <v>57</v>
      </c>
      <c r="E180" s="15" t="s">
        <v>32</v>
      </c>
      <c r="F180" s="16">
        <v>3</v>
      </c>
    </row>
    <row r="181" spans="1:6" x14ac:dyDescent="0.15">
      <c r="A181" s="17">
        <v>42099</v>
      </c>
      <c r="B181" s="15" t="s">
        <v>33</v>
      </c>
      <c r="C181" s="15" t="s">
        <v>54</v>
      </c>
      <c r="D181" s="15" t="s">
        <v>56</v>
      </c>
      <c r="E181" s="15" t="s">
        <v>49</v>
      </c>
      <c r="F181" s="16">
        <v>10</v>
      </c>
    </row>
    <row r="182" spans="1:6" x14ac:dyDescent="0.15">
      <c r="A182" s="17">
        <v>42099</v>
      </c>
      <c r="B182" s="15" t="s">
        <v>33</v>
      </c>
      <c r="C182" s="15" t="s">
        <v>54</v>
      </c>
      <c r="D182" s="15" t="s">
        <v>24</v>
      </c>
      <c r="E182" s="15" t="s">
        <v>50</v>
      </c>
      <c r="F182" s="16">
        <v>6</v>
      </c>
    </row>
    <row r="183" spans="1:6" x14ac:dyDescent="0.15">
      <c r="A183" s="17">
        <v>42099</v>
      </c>
      <c r="B183" s="15" t="s">
        <v>59</v>
      </c>
      <c r="C183" s="15" t="s">
        <v>51</v>
      </c>
      <c r="D183" s="15" t="s">
        <v>56</v>
      </c>
      <c r="E183" s="15" t="s">
        <v>54</v>
      </c>
      <c r="F183" s="16">
        <v>2</v>
      </c>
    </row>
    <row r="184" spans="1:6" x14ac:dyDescent="0.15">
      <c r="A184" s="17">
        <v>42099</v>
      </c>
      <c r="B184" s="15" t="s">
        <v>55</v>
      </c>
      <c r="C184" s="15" t="s">
        <v>49</v>
      </c>
      <c r="D184" s="15" t="s">
        <v>33</v>
      </c>
      <c r="E184" s="15" t="s">
        <v>50</v>
      </c>
      <c r="F184" s="16">
        <v>2</v>
      </c>
    </row>
    <row r="185" spans="1:6" x14ac:dyDescent="0.15">
      <c r="A185" s="17">
        <v>42099</v>
      </c>
      <c r="B185" s="15" t="s">
        <v>33</v>
      </c>
      <c r="C185" s="15" t="s">
        <v>50</v>
      </c>
      <c r="D185" s="15" t="s">
        <v>55</v>
      </c>
      <c r="E185" s="15" t="s">
        <v>49</v>
      </c>
      <c r="F185" s="16">
        <v>9</v>
      </c>
    </row>
    <row r="186" spans="1:6" x14ac:dyDescent="0.15">
      <c r="A186" s="17">
        <v>42099</v>
      </c>
      <c r="B186" s="15" t="s">
        <v>33</v>
      </c>
      <c r="C186" s="15" t="s">
        <v>61</v>
      </c>
      <c r="D186" s="15" t="s">
        <v>55</v>
      </c>
      <c r="E186" s="15" t="s">
        <v>49</v>
      </c>
      <c r="F186" s="16">
        <v>2</v>
      </c>
    </row>
    <row r="187" spans="1:6" x14ac:dyDescent="0.15">
      <c r="A187" s="17">
        <v>42099</v>
      </c>
      <c r="B187" s="15" t="s">
        <v>59</v>
      </c>
      <c r="C187" s="15" t="s">
        <v>51</v>
      </c>
      <c r="D187" s="15" t="s">
        <v>24</v>
      </c>
      <c r="E187" s="15" t="s">
        <v>54</v>
      </c>
      <c r="F187" s="16">
        <v>10</v>
      </c>
    </row>
    <row r="188" spans="1:6" x14ac:dyDescent="0.15">
      <c r="A188" s="17">
        <v>42099</v>
      </c>
      <c r="B188" s="15" t="s">
        <v>33</v>
      </c>
      <c r="C188" s="15" t="s">
        <v>50</v>
      </c>
      <c r="D188" s="15" t="s">
        <v>56</v>
      </c>
      <c r="E188" s="15" t="s">
        <v>55</v>
      </c>
      <c r="F188" s="16">
        <v>5</v>
      </c>
    </row>
    <row r="189" spans="1:6" x14ac:dyDescent="0.15">
      <c r="A189" s="17">
        <v>42099</v>
      </c>
      <c r="B189" s="15" t="s">
        <v>33</v>
      </c>
      <c r="C189" s="15" t="s">
        <v>50</v>
      </c>
      <c r="D189" s="15" t="s">
        <v>51</v>
      </c>
      <c r="E189" s="15" t="s">
        <v>61</v>
      </c>
      <c r="F189" s="16">
        <v>15</v>
      </c>
    </row>
    <row r="190" spans="1:6" x14ac:dyDescent="0.15">
      <c r="A190" s="17">
        <v>42099</v>
      </c>
      <c r="B190" s="15" t="s">
        <v>33</v>
      </c>
      <c r="C190" s="15" t="s">
        <v>50</v>
      </c>
      <c r="D190" s="15" t="s">
        <v>61</v>
      </c>
      <c r="E190" s="15" t="s">
        <v>59</v>
      </c>
      <c r="F190" s="16">
        <v>15</v>
      </c>
    </row>
    <row r="191" spans="1:6" x14ac:dyDescent="0.15">
      <c r="A191" s="17">
        <v>42099</v>
      </c>
      <c r="B191" s="15" t="s">
        <v>51</v>
      </c>
      <c r="C191" s="15" t="s">
        <v>57</v>
      </c>
      <c r="D191" s="15" t="s">
        <v>24</v>
      </c>
      <c r="E191" s="15" t="s">
        <v>32</v>
      </c>
      <c r="F191" s="16">
        <v>6</v>
      </c>
    </row>
    <row r="192" spans="1:6" x14ac:dyDescent="0.15">
      <c r="A192" s="17">
        <v>42099</v>
      </c>
      <c r="B192" s="15" t="s">
        <v>56</v>
      </c>
      <c r="C192" s="15" t="s">
        <v>50</v>
      </c>
      <c r="D192" s="15" t="s">
        <v>55</v>
      </c>
      <c r="E192" s="15" t="s">
        <v>32</v>
      </c>
      <c r="F192" s="16">
        <v>2</v>
      </c>
    </row>
    <row r="193" spans="1:6" x14ac:dyDescent="0.15">
      <c r="A193" s="17">
        <v>42099</v>
      </c>
      <c r="B193" s="15" t="s">
        <v>33</v>
      </c>
      <c r="C193" s="15" t="s">
        <v>57</v>
      </c>
      <c r="D193" s="15" t="s">
        <v>56</v>
      </c>
      <c r="E193" s="15" t="s">
        <v>49</v>
      </c>
      <c r="F193" s="16">
        <v>2</v>
      </c>
    </row>
    <row r="194" spans="1:6" x14ac:dyDescent="0.15">
      <c r="A194" s="17">
        <v>42106</v>
      </c>
      <c r="B194" s="15" t="s">
        <v>59</v>
      </c>
      <c r="C194" s="15" t="s">
        <v>33</v>
      </c>
      <c r="D194" s="15" t="s">
        <v>56</v>
      </c>
      <c r="E194" s="15" t="s">
        <v>54</v>
      </c>
      <c r="F194" s="16">
        <v>2</v>
      </c>
    </row>
    <row r="195" spans="1:6" x14ac:dyDescent="0.15">
      <c r="A195" s="17">
        <v>42106</v>
      </c>
      <c r="B195" s="15" t="s">
        <v>56</v>
      </c>
      <c r="C195" s="15" t="s">
        <v>55</v>
      </c>
      <c r="D195" s="15" t="s">
        <v>24</v>
      </c>
      <c r="E195" s="15" t="s">
        <v>54</v>
      </c>
      <c r="F195" s="16">
        <v>13</v>
      </c>
    </row>
    <row r="196" spans="1:6" x14ac:dyDescent="0.15">
      <c r="A196" s="17">
        <v>42106</v>
      </c>
      <c r="B196" s="15" t="s">
        <v>56</v>
      </c>
      <c r="C196" s="15" t="s">
        <v>55</v>
      </c>
      <c r="D196" s="15" t="s">
        <v>24</v>
      </c>
      <c r="E196" s="15" t="s">
        <v>54</v>
      </c>
      <c r="F196" s="16">
        <v>4</v>
      </c>
    </row>
    <row r="197" spans="1:6" x14ac:dyDescent="0.15">
      <c r="A197" s="17">
        <v>42106</v>
      </c>
      <c r="B197" s="15" t="s">
        <v>33</v>
      </c>
      <c r="C197" s="15" t="s">
        <v>25</v>
      </c>
      <c r="D197" s="15" t="s">
        <v>24</v>
      </c>
      <c r="E197" s="15" t="s">
        <v>59</v>
      </c>
      <c r="F197" s="16">
        <v>2</v>
      </c>
    </row>
    <row r="198" spans="1:6" x14ac:dyDescent="0.15">
      <c r="A198" s="17">
        <v>42106</v>
      </c>
      <c r="B198" s="15" t="s">
        <v>55</v>
      </c>
      <c r="C198" s="15" t="s">
        <v>54</v>
      </c>
      <c r="D198" s="15" t="s">
        <v>56</v>
      </c>
      <c r="E198" s="15" t="s">
        <v>49</v>
      </c>
      <c r="F198" s="16">
        <v>4</v>
      </c>
    </row>
    <row r="199" spans="1:6" x14ac:dyDescent="0.15">
      <c r="A199" s="17">
        <v>42106</v>
      </c>
      <c r="B199" s="15" t="s">
        <v>33</v>
      </c>
      <c r="C199" s="15" t="s">
        <v>24</v>
      </c>
      <c r="D199" s="15" t="s">
        <v>55</v>
      </c>
      <c r="E199" s="15" t="s">
        <v>54</v>
      </c>
      <c r="F199" s="16">
        <v>2</v>
      </c>
    </row>
    <row r="200" spans="1:6" x14ac:dyDescent="0.15">
      <c r="A200" s="17">
        <v>42106</v>
      </c>
      <c r="B200" s="15" t="s">
        <v>25</v>
      </c>
      <c r="C200" s="15" t="s">
        <v>61</v>
      </c>
      <c r="D200" s="15" t="s">
        <v>59</v>
      </c>
      <c r="E200" s="15" t="s">
        <v>57</v>
      </c>
      <c r="F200" s="16">
        <v>7</v>
      </c>
    </row>
    <row r="201" spans="1:6" x14ac:dyDescent="0.15">
      <c r="A201" s="17">
        <v>42106</v>
      </c>
      <c r="B201" s="15" t="s">
        <v>24</v>
      </c>
      <c r="C201" s="15" t="s">
        <v>33</v>
      </c>
      <c r="D201" s="15" t="s">
        <v>56</v>
      </c>
      <c r="E201" s="15" t="s">
        <v>49</v>
      </c>
      <c r="F201" s="16">
        <v>2</v>
      </c>
    </row>
    <row r="202" spans="1:6" x14ac:dyDescent="0.15">
      <c r="A202" s="17">
        <v>42106</v>
      </c>
      <c r="B202" s="15" t="s">
        <v>59</v>
      </c>
      <c r="C202" s="15" t="s">
        <v>55</v>
      </c>
      <c r="D202" s="15" t="s">
        <v>25</v>
      </c>
      <c r="E202" s="15" t="s">
        <v>57</v>
      </c>
      <c r="F202" s="16">
        <v>8</v>
      </c>
    </row>
    <row r="203" spans="1:6" x14ac:dyDescent="0.15">
      <c r="A203" s="17">
        <v>42106</v>
      </c>
      <c r="B203" s="15" t="s">
        <v>33</v>
      </c>
      <c r="C203" s="15" t="s">
        <v>54</v>
      </c>
      <c r="D203" s="15" t="s">
        <v>56</v>
      </c>
      <c r="E203" s="15" t="s">
        <v>49</v>
      </c>
      <c r="F203" s="16">
        <v>2</v>
      </c>
    </row>
    <row r="204" spans="1:6" x14ac:dyDescent="0.15">
      <c r="A204" s="17">
        <v>42106</v>
      </c>
      <c r="B204" s="15" t="s">
        <v>59</v>
      </c>
      <c r="C204" s="15" t="s">
        <v>55</v>
      </c>
      <c r="D204" s="15" t="s">
        <v>24</v>
      </c>
      <c r="E204" s="15" t="s">
        <v>61</v>
      </c>
      <c r="F204" s="16">
        <v>2</v>
      </c>
    </row>
    <row r="205" spans="1:6" x14ac:dyDescent="0.15">
      <c r="A205" s="17">
        <v>42106</v>
      </c>
      <c r="B205" s="15" t="s">
        <v>25</v>
      </c>
      <c r="C205" s="15" t="s">
        <v>57</v>
      </c>
      <c r="D205" s="15" t="s">
        <v>24</v>
      </c>
      <c r="E205" s="15" t="s">
        <v>55</v>
      </c>
      <c r="F205" s="16">
        <v>2</v>
      </c>
    </row>
    <row r="206" spans="1:6" x14ac:dyDescent="0.15">
      <c r="A206" s="17">
        <v>42106</v>
      </c>
      <c r="B206" s="15" t="s">
        <v>25</v>
      </c>
      <c r="C206" s="15" t="s">
        <v>54</v>
      </c>
      <c r="D206" s="15" t="s">
        <v>24</v>
      </c>
      <c r="E206" s="15" t="s">
        <v>55</v>
      </c>
      <c r="F206" s="16">
        <v>2</v>
      </c>
    </row>
    <row r="207" spans="1:6" x14ac:dyDescent="0.15">
      <c r="A207" s="17">
        <v>42106</v>
      </c>
      <c r="B207" s="15" t="s">
        <v>56</v>
      </c>
      <c r="C207" s="15" t="s">
        <v>49</v>
      </c>
      <c r="D207" s="15" t="s">
        <v>59</v>
      </c>
      <c r="E207" s="15" t="s">
        <v>61</v>
      </c>
      <c r="F207" s="16">
        <v>4</v>
      </c>
    </row>
    <row r="208" spans="1:6" x14ac:dyDescent="0.15">
      <c r="A208" s="17">
        <v>42106</v>
      </c>
      <c r="B208" s="15" t="s">
        <v>33</v>
      </c>
      <c r="C208" s="15" t="s">
        <v>61</v>
      </c>
      <c r="D208" s="15" t="s">
        <v>59</v>
      </c>
      <c r="E208" s="15" t="s">
        <v>49</v>
      </c>
      <c r="F208" s="16">
        <v>7</v>
      </c>
    </row>
    <row r="209" spans="1:6" x14ac:dyDescent="0.15">
      <c r="A209" s="17">
        <v>42106</v>
      </c>
      <c r="B209" s="15" t="s">
        <v>55</v>
      </c>
      <c r="C209" s="15" t="s">
        <v>57</v>
      </c>
      <c r="D209" s="15" t="s">
        <v>24</v>
      </c>
      <c r="E209" s="15" t="s">
        <v>54</v>
      </c>
      <c r="F209" s="16">
        <v>4</v>
      </c>
    </row>
    <row r="210" spans="1:6" x14ac:dyDescent="0.15">
      <c r="A210" s="17">
        <v>42106</v>
      </c>
      <c r="B210" s="15" t="s">
        <v>25</v>
      </c>
      <c r="C210" s="15" t="s">
        <v>57</v>
      </c>
      <c r="D210" s="15" t="s">
        <v>33</v>
      </c>
      <c r="E210" s="15" t="s">
        <v>54</v>
      </c>
      <c r="F210" s="16">
        <v>2</v>
      </c>
    </row>
    <row r="211" spans="1:6" x14ac:dyDescent="0.15">
      <c r="A211" s="17">
        <v>42106</v>
      </c>
      <c r="B211" s="15" t="s">
        <v>33</v>
      </c>
      <c r="C211" s="15" t="s">
        <v>54</v>
      </c>
      <c r="D211" s="15" t="s">
        <v>25</v>
      </c>
      <c r="E211" s="15" t="s">
        <v>57</v>
      </c>
      <c r="F211" s="16">
        <v>11</v>
      </c>
    </row>
    <row r="212" spans="1:6" x14ac:dyDescent="0.15">
      <c r="A212" s="17">
        <v>42106</v>
      </c>
      <c r="B212" s="15" t="s">
        <v>33</v>
      </c>
      <c r="C212" s="15" t="s">
        <v>54</v>
      </c>
      <c r="D212" s="15" t="s">
        <v>25</v>
      </c>
      <c r="E212" s="15" t="s">
        <v>24</v>
      </c>
      <c r="F212" s="16">
        <v>4</v>
      </c>
    </row>
    <row r="213" spans="1:6" x14ac:dyDescent="0.15">
      <c r="A213" s="17">
        <v>42106</v>
      </c>
      <c r="B213" s="15" t="s">
        <v>24</v>
      </c>
      <c r="C213" s="15" t="s">
        <v>49</v>
      </c>
      <c r="D213" s="15" t="s">
        <v>55</v>
      </c>
      <c r="E213" s="15" t="s">
        <v>57</v>
      </c>
      <c r="F213" s="16">
        <v>7</v>
      </c>
    </row>
    <row r="214" spans="1:6" x14ac:dyDescent="0.15">
      <c r="A214" s="17">
        <v>42106</v>
      </c>
      <c r="B214" s="15" t="s">
        <v>33</v>
      </c>
      <c r="C214" s="15" t="s">
        <v>25</v>
      </c>
      <c r="D214" s="15" t="s">
        <v>24</v>
      </c>
      <c r="E214" s="15" t="s">
        <v>49</v>
      </c>
      <c r="F214" s="16">
        <v>3</v>
      </c>
    </row>
    <row r="215" spans="1:6" x14ac:dyDescent="0.15">
      <c r="A215" s="17">
        <v>42106</v>
      </c>
      <c r="B215" s="15" t="s">
        <v>25</v>
      </c>
      <c r="C215" s="15" t="s">
        <v>55</v>
      </c>
      <c r="D215" s="15" t="s">
        <v>33</v>
      </c>
      <c r="E215" s="15" t="s">
        <v>57</v>
      </c>
      <c r="F215" s="16">
        <v>5</v>
      </c>
    </row>
    <row r="216" spans="1:6" x14ac:dyDescent="0.15">
      <c r="A216" s="17">
        <v>42106</v>
      </c>
      <c r="B216" s="15" t="s">
        <v>55</v>
      </c>
      <c r="C216" s="15" t="s">
        <v>57</v>
      </c>
      <c r="D216" s="15" t="s">
        <v>24</v>
      </c>
      <c r="E216" s="15" t="s">
        <v>49</v>
      </c>
      <c r="F216" s="16">
        <v>7</v>
      </c>
    </row>
  </sheetData>
  <mergeCells count="2">
    <mergeCell ref="B1:C1"/>
    <mergeCell ref="D1:E1"/>
  </mergeCells>
  <phoneticPr fontId="1" type="noConversion"/>
  <dataValidations count="2">
    <dataValidation type="whole" allowBlank="1" showInputMessage="1" showErrorMessage="1" promptTitle="输入分差" prompt="如比赛结果对阵一：对阵二 为 21：15，输入6， 如结果为15：26， 输入-6" sqref="F2">
      <formula1>-21</formula1>
      <formula2>21</formula2>
    </dataValidation>
    <dataValidation type="list" allowBlank="1" showInputMessage="1" showErrorMessage="1" sqref="B2:E216">
      <formula1>成员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ommandButton1">
          <controlPr defaultSize="0" autoLine="0" r:id="rId5">
            <anchor moveWithCells="1">
              <from>
                <xdr:col>7</xdr:col>
                <xdr:colOff>228600</xdr:colOff>
                <xdr:row>1</xdr:row>
                <xdr:rowOff>28575</xdr:rowOff>
              </from>
              <to>
                <xdr:col>8</xdr:col>
                <xdr:colOff>466725</xdr:colOff>
                <xdr:row>3</xdr:row>
                <xdr:rowOff>47625</xdr:rowOff>
              </to>
            </anchor>
          </controlPr>
        </control>
      </mc:Choice>
      <mc:Fallback>
        <control shapeId="1037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50"/>
  <sheetViews>
    <sheetView workbookViewId="0">
      <selection activeCell="C19" sqref="C19"/>
    </sheetView>
  </sheetViews>
  <sheetFormatPr defaultRowHeight="13.5" x14ac:dyDescent="0.15"/>
  <cols>
    <col min="1" max="1" width="13.125" customWidth="1"/>
    <col min="2" max="2" width="15.875" customWidth="1"/>
    <col min="3" max="3" width="13.125" customWidth="1"/>
    <col min="4" max="4" width="13" customWidth="1"/>
  </cols>
  <sheetData>
    <row r="1" spans="1:4" x14ac:dyDescent="0.15">
      <c r="A1" s="2" t="s">
        <v>0</v>
      </c>
      <c r="B1" s="2" t="s">
        <v>8</v>
      </c>
      <c r="C1" s="2" t="s">
        <v>9</v>
      </c>
      <c r="D1" s="2" t="s">
        <v>7</v>
      </c>
    </row>
    <row r="2" spans="1:4" x14ac:dyDescent="0.15">
      <c r="A2" s="18" t="s">
        <v>62</v>
      </c>
      <c r="B2" s="3" t="s">
        <v>25</v>
      </c>
      <c r="C2" s="3" t="s">
        <v>27</v>
      </c>
      <c r="D2" s="3">
        <v>3</v>
      </c>
    </row>
    <row r="3" spans="1:4" x14ac:dyDescent="0.15">
      <c r="A3" s="18" t="s">
        <v>62</v>
      </c>
      <c r="B3" s="3" t="s">
        <v>25</v>
      </c>
      <c r="C3" s="3" t="s">
        <v>23</v>
      </c>
      <c r="D3" s="3">
        <v>9</v>
      </c>
    </row>
    <row r="4" spans="1:4" x14ac:dyDescent="0.15">
      <c r="A4" s="18" t="s">
        <v>52</v>
      </c>
      <c r="B4" s="3" t="s">
        <v>23</v>
      </c>
      <c r="C4" s="3" t="s">
        <v>33</v>
      </c>
      <c r="D4" s="3">
        <v>3</v>
      </c>
    </row>
    <row r="5" spans="1:4" x14ac:dyDescent="0.15">
      <c r="A5" s="18" t="s">
        <v>52</v>
      </c>
      <c r="B5" s="3" t="s">
        <v>33</v>
      </c>
      <c r="C5" s="3" t="s">
        <v>23</v>
      </c>
      <c r="D5" s="3">
        <v>7</v>
      </c>
    </row>
    <row r="6" spans="1:4" x14ac:dyDescent="0.15">
      <c r="A6" s="18" t="s">
        <v>63</v>
      </c>
      <c r="B6" s="3" t="s">
        <v>33</v>
      </c>
      <c r="C6" s="3" t="s">
        <v>51</v>
      </c>
      <c r="D6" s="3">
        <v>11</v>
      </c>
    </row>
    <row r="7" spans="1:4" x14ac:dyDescent="0.15">
      <c r="A7" s="3"/>
      <c r="B7" s="3"/>
      <c r="C7" s="3"/>
      <c r="D7" s="3"/>
    </row>
    <row r="8" spans="1:4" x14ac:dyDescent="0.15">
      <c r="A8" s="3"/>
      <c r="B8" s="3"/>
      <c r="C8" s="3"/>
      <c r="D8" s="3"/>
    </row>
    <row r="9" spans="1:4" x14ac:dyDescent="0.15">
      <c r="A9" s="3"/>
      <c r="B9" s="3"/>
      <c r="C9" s="3"/>
      <c r="D9" s="3"/>
    </row>
    <row r="10" spans="1:4" x14ac:dyDescent="0.15">
      <c r="A10" s="3"/>
      <c r="B10" s="3"/>
      <c r="C10" s="3"/>
      <c r="D10" s="3"/>
    </row>
    <row r="11" spans="1:4" x14ac:dyDescent="0.15">
      <c r="A11" s="3"/>
      <c r="B11" s="3"/>
      <c r="C11" s="3"/>
      <c r="D11" s="3"/>
    </row>
    <row r="12" spans="1:4" x14ac:dyDescent="0.15">
      <c r="A12" s="3"/>
      <c r="B12" s="3"/>
      <c r="C12" s="3"/>
      <c r="D12" s="3"/>
    </row>
    <row r="13" spans="1:4" x14ac:dyDescent="0.15">
      <c r="A13" s="3"/>
      <c r="B13" s="3"/>
      <c r="C13" s="3"/>
      <c r="D13" s="3"/>
    </row>
    <row r="14" spans="1:4" x14ac:dyDescent="0.15">
      <c r="A14" s="3"/>
      <c r="B14" s="3"/>
      <c r="C14" s="3"/>
      <c r="D14" s="3"/>
    </row>
    <row r="15" spans="1:4" x14ac:dyDescent="0.15">
      <c r="A15" s="3"/>
      <c r="B15" s="3"/>
      <c r="C15" s="3"/>
      <c r="D15" s="3"/>
    </row>
    <row r="16" spans="1:4" x14ac:dyDescent="0.15">
      <c r="A16" s="3"/>
      <c r="B16" s="3"/>
      <c r="C16" s="3"/>
      <c r="D16" s="3"/>
    </row>
    <row r="17" spans="1:4" x14ac:dyDescent="0.15">
      <c r="A17" s="3"/>
      <c r="B17" s="3"/>
      <c r="C17" s="3"/>
      <c r="D17" s="3"/>
    </row>
    <row r="18" spans="1:4" x14ac:dyDescent="0.15">
      <c r="A18" s="3"/>
      <c r="B18" s="3"/>
      <c r="C18" s="3"/>
      <c r="D18" s="3"/>
    </row>
    <row r="19" spans="1:4" x14ac:dyDescent="0.15">
      <c r="A19" s="3"/>
      <c r="B19" s="3"/>
      <c r="C19" s="3"/>
      <c r="D19" s="3"/>
    </row>
    <row r="20" spans="1:4" x14ac:dyDescent="0.15">
      <c r="A20" s="3"/>
      <c r="B20" s="3"/>
      <c r="C20" s="3"/>
      <c r="D20" s="3"/>
    </row>
    <row r="21" spans="1:4" x14ac:dyDescent="0.15">
      <c r="A21" s="3"/>
      <c r="B21" s="3"/>
      <c r="C21" s="3"/>
      <c r="D21" s="3"/>
    </row>
    <row r="22" spans="1:4" x14ac:dyDescent="0.15">
      <c r="A22" s="3"/>
      <c r="B22" s="3"/>
      <c r="C22" s="3"/>
      <c r="D22" s="3"/>
    </row>
    <row r="23" spans="1:4" x14ac:dyDescent="0.15">
      <c r="A23" s="3"/>
      <c r="B23" s="3"/>
      <c r="C23" s="3"/>
      <c r="D23" s="3"/>
    </row>
    <row r="24" spans="1:4" x14ac:dyDescent="0.15">
      <c r="A24" s="3"/>
      <c r="B24" s="3"/>
      <c r="C24" s="3"/>
      <c r="D24" s="3"/>
    </row>
    <row r="25" spans="1:4" x14ac:dyDescent="0.15">
      <c r="A25" s="3"/>
      <c r="B25" s="3"/>
      <c r="C25" s="3"/>
      <c r="D25" s="3"/>
    </row>
    <row r="26" spans="1:4" x14ac:dyDescent="0.15">
      <c r="A26" s="3"/>
      <c r="B26" s="3"/>
      <c r="C26" s="3"/>
      <c r="D26" s="3"/>
    </row>
    <row r="27" spans="1:4" x14ac:dyDescent="0.15">
      <c r="A27" s="3"/>
      <c r="B27" s="3"/>
      <c r="C27" s="3"/>
      <c r="D27" s="3"/>
    </row>
    <row r="28" spans="1:4" x14ac:dyDescent="0.15">
      <c r="A28" s="3"/>
      <c r="B28" s="3"/>
      <c r="C28" s="3"/>
      <c r="D28" s="3"/>
    </row>
    <row r="29" spans="1:4" x14ac:dyDescent="0.15">
      <c r="A29" s="3"/>
      <c r="B29" s="3"/>
      <c r="C29" s="3"/>
      <c r="D29" s="3"/>
    </row>
    <row r="30" spans="1:4" x14ac:dyDescent="0.15">
      <c r="A30" s="3"/>
      <c r="B30" s="3"/>
      <c r="C30" s="3"/>
      <c r="D30" s="3"/>
    </row>
    <row r="31" spans="1:4" x14ac:dyDescent="0.15">
      <c r="A31" s="3"/>
      <c r="B31" s="3"/>
      <c r="C31" s="3"/>
      <c r="D31" s="3"/>
    </row>
    <row r="32" spans="1:4" x14ac:dyDescent="0.15">
      <c r="A32" s="3"/>
      <c r="B32" s="3"/>
      <c r="C32" s="3"/>
      <c r="D32" s="3"/>
    </row>
    <row r="33" spans="1:4" x14ac:dyDescent="0.15">
      <c r="A33" s="3"/>
      <c r="B33" s="3"/>
      <c r="C33" s="3"/>
      <c r="D33" s="3"/>
    </row>
    <row r="34" spans="1:4" x14ac:dyDescent="0.15">
      <c r="A34" s="3"/>
      <c r="B34" s="3"/>
      <c r="C34" s="3"/>
      <c r="D34" s="3"/>
    </row>
    <row r="35" spans="1:4" x14ac:dyDescent="0.15">
      <c r="A35" s="3"/>
      <c r="B35" s="3"/>
      <c r="C35" s="3"/>
      <c r="D35" s="3"/>
    </row>
    <row r="36" spans="1:4" x14ac:dyDescent="0.15">
      <c r="A36" s="3"/>
      <c r="B36" s="3"/>
      <c r="C36" s="3"/>
      <c r="D36" s="3"/>
    </row>
    <row r="37" spans="1:4" x14ac:dyDescent="0.15">
      <c r="A37" s="3"/>
      <c r="B37" s="3"/>
      <c r="C37" s="3"/>
      <c r="D37" s="3"/>
    </row>
    <row r="38" spans="1:4" x14ac:dyDescent="0.15">
      <c r="A38" s="3"/>
      <c r="B38" s="3"/>
      <c r="C38" s="3"/>
      <c r="D38" s="3"/>
    </row>
    <row r="39" spans="1:4" x14ac:dyDescent="0.15">
      <c r="A39" s="3"/>
      <c r="B39" s="3"/>
      <c r="C39" s="3"/>
      <c r="D39" s="3"/>
    </row>
    <row r="40" spans="1:4" x14ac:dyDescent="0.15">
      <c r="A40" s="3"/>
      <c r="B40" s="3"/>
      <c r="C40" s="3"/>
      <c r="D40" s="3"/>
    </row>
    <row r="41" spans="1:4" x14ac:dyDescent="0.15">
      <c r="A41" s="3"/>
      <c r="B41" s="3"/>
      <c r="C41" s="3"/>
      <c r="D41" s="3"/>
    </row>
    <row r="42" spans="1:4" x14ac:dyDescent="0.15">
      <c r="A42" s="3"/>
      <c r="B42" s="3"/>
      <c r="C42" s="3"/>
      <c r="D42" s="3"/>
    </row>
    <row r="43" spans="1:4" x14ac:dyDescent="0.15">
      <c r="A43" s="3"/>
      <c r="B43" s="3"/>
      <c r="C43" s="3"/>
      <c r="D43" s="3"/>
    </row>
    <row r="44" spans="1:4" x14ac:dyDescent="0.15">
      <c r="A44" s="3"/>
      <c r="B44" s="3"/>
      <c r="C44" s="3"/>
      <c r="D44" s="3"/>
    </row>
    <row r="45" spans="1:4" x14ac:dyDescent="0.15">
      <c r="A45" s="3"/>
      <c r="B45" s="3"/>
      <c r="C45" s="3"/>
      <c r="D45" s="3"/>
    </row>
    <row r="46" spans="1:4" x14ac:dyDescent="0.15">
      <c r="A46" s="3"/>
      <c r="B46" s="3"/>
      <c r="C46" s="3"/>
      <c r="D46" s="3"/>
    </row>
    <row r="47" spans="1:4" x14ac:dyDescent="0.15">
      <c r="A47" s="3"/>
      <c r="B47" s="3"/>
      <c r="C47" s="3"/>
      <c r="D47" s="3"/>
    </row>
    <row r="48" spans="1:4" x14ac:dyDescent="0.15">
      <c r="A48" s="3"/>
      <c r="B48" s="3"/>
      <c r="C48" s="3"/>
      <c r="D48" s="3"/>
    </row>
    <row r="49" spans="1:4" x14ac:dyDescent="0.15">
      <c r="A49" s="3"/>
      <c r="B49" s="3"/>
      <c r="C49" s="3"/>
      <c r="D49" s="3"/>
    </row>
    <row r="50" spans="1:4" x14ac:dyDescent="0.15">
      <c r="A50" s="3"/>
      <c r="B50" s="3"/>
      <c r="C50" s="3"/>
      <c r="D50" s="3"/>
    </row>
  </sheetData>
  <phoneticPr fontId="1" type="noConversion"/>
  <dataValidations count="2">
    <dataValidation type="whole" showInputMessage="1" showErrorMessage="1" promptTitle="输入分差" prompt="如比赛结果对阵一：对阵二 为 21：15，输入6， 如结果为15：26， 输入-6" sqref="D2">
      <formula1>-21</formula1>
      <formula2>21</formula2>
    </dataValidation>
    <dataValidation type="list" allowBlank="1" showInputMessage="1" showErrorMessage="1" sqref="C2:C39 B2:B47">
      <formula1>成员</formula1>
    </dataValidation>
  </dataValidations>
  <pageMargins left="0.7" right="0.7" top="0.75" bottom="0.75" header="0.3" footer="0.3"/>
  <pageSetup orientation="portrait" horizontalDpi="200" verticalDpi="200" copies="0" r:id="rId1"/>
  <drawing r:id="rId2"/>
  <legacyDrawing r:id="rId3"/>
  <controls>
    <mc:AlternateContent xmlns:mc="http://schemas.openxmlformats.org/markup-compatibility/2006">
      <mc:Choice Requires="x14">
        <control shapeId="3082" r:id="rId4" name="CommandButton1">
          <controlPr defaultSize="0" autoLine="0" r:id="rId5">
            <anchor moveWithCells="1">
              <from>
                <xdr:col>5</xdr:col>
                <xdr:colOff>200025</xdr:colOff>
                <xdr:row>0</xdr:row>
                <xdr:rowOff>47625</xdr:rowOff>
              </from>
              <to>
                <xdr:col>6</xdr:col>
                <xdr:colOff>438150</xdr:colOff>
                <xdr:row>2</xdr:row>
                <xdr:rowOff>66675</xdr:rowOff>
              </to>
            </anchor>
          </controlPr>
        </control>
      </mc:Choice>
      <mc:Fallback>
        <control shapeId="3082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O19"/>
  <sheetViews>
    <sheetView tabSelected="1" workbookViewId="0">
      <selection activeCell="Q49" sqref="Q49"/>
    </sheetView>
  </sheetViews>
  <sheetFormatPr defaultRowHeight="13.5" x14ac:dyDescent="0.15"/>
  <cols>
    <col min="1" max="1" width="11.875" style="3" customWidth="1"/>
    <col min="2" max="4" width="5.5" style="3" customWidth="1"/>
    <col min="5" max="5" width="7.25" style="3" customWidth="1"/>
    <col min="6" max="7" width="7.5" style="3" customWidth="1"/>
    <col min="8" max="8" width="7.75" style="3" customWidth="1"/>
    <col min="9" max="9" width="7.5" style="3" customWidth="1"/>
    <col min="10" max="13" width="5.5" style="3" customWidth="1"/>
    <col min="14" max="14" width="7.125" style="3" customWidth="1"/>
    <col min="15" max="15" width="7.375" style="3" customWidth="1"/>
    <col min="16" max="16" width="5.5" style="3" customWidth="1"/>
    <col min="17" max="17" width="6.875" style="3" customWidth="1"/>
    <col min="18" max="18" width="5.25" style="3" bestFit="1" customWidth="1"/>
    <col min="19" max="19" width="5.625" style="3" customWidth="1"/>
    <col min="20" max="20" width="5.25" style="3" bestFit="1" customWidth="1"/>
    <col min="21" max="21" width="10.625" style="3" customWidth="1"/>
    <col min="22" max="24" width="5.25" style="3" bestFit="1" customWidth="1"/>
    <col min="25" max="29" width="7.5" style="3" bestFit="1" customWidth="1"/>
    <col min="30" max="33" width="5.25" style="3" bestFit="1" customWidth="1"/>
    <col min="34" max="35" width="7.5" style="3" bestFit="1" customWidth="1"/>
    <col min="36" max="36" width="4" style="3" customWidth="1"/>
    <col min="37" max="37" width="7.5" style="3" bestFit="1" customWidth="1"/>
    <col min="38" max="40" width="5.25" style="3" bestFit="1" customWidth="1"/>
    <col min="41" max="41" width="12.625" style="3" customWidth="1"/>
    <col min="42" max="45" width="5.25" style="3" bestFit="1" customWidth="1"/>
    <col min="46" max="49" width="7.5" style="3" bestFit="1" customWidth="1"/>
    <col min="50" max="53" width="5.25" style="3" bestFit="1" customWidth="1"/>
    <col min="54" max="55" width="7.5" style="3" bestFit="1" customWidth="1"/>
    <col min="56" max="57" width="5.5" style="3" bestFit="1" customWidth="1"/>
    <col min="58" max="59" width="5.25" style="3" bestFit="1" customWidth="1"/>
    <col min="60" max="60" width="5.5" style="3" bestFit="1" customWidth="1"/>
    <col min="61" max="61" width="14" style="3" customWidth="1"/>
    <col min="62" max="67" width="5.5" style="3" bestFit="1" customWidth="1"/>
    <col min="68" max="68" width="7.5" style="3" bestFit="1" customWidth="1"/>
    <col min="69" max="69" width="4.5" style="3" bestFit="1" customWidth="1"/>
    <col min="70" max="71" width="5.5" style="3" bestFit="1" customWidth="1"/>
    <col min="72" max="72" width="4.875" style="3" customWidth="1"/>
    <col min="73" max="73" width="5.5" style="3" bestFit="1" customWidth="1"/>
    <col min="74" max="74" width="7.75" style="3" customWidth="1"/>
    <col min="75" max="75" width="8.125" style="3" customWidth="1"/>
    <col min="76" max="76" width="7.75" style="3" customWidth="1"/>
    <col min="77" max="77" width="9.25" style="3" customWidth="1"/>
    <col min="78" max="78" width="6.875" style="3" customWidth="1"/>
    <col min="79" max="79" width="7.25" style="3" customWidth="1"/>
    <col min="80" max="80" width="6.5" style="3" bestFit="1" customWidth="1"/>
    <col min="81" max="81" width="13.625" style="3" customWidth="1"/>
    <col min="82" max="82" width="6.5" style="3" bestFit="1" customWidth="1"/>
    <col min="83" max="83" width="7.5" style="3" customWidth="1"/>
    <col min="84" max="84" width="7" style="3" customWidth="1"/>
    <col min="85" max="85" width="7.125" style="3" customWidth="1"/>
    <col min="86" max="86" width="6.5" style="3" bestFit="1" customWidth="1"/>
    <col min="87" max="87" width="6.25" style="3" customWidth="1"/>
    <col min="88" max="88" width="6.5" style="3" bestFit="1" customWidth="1"/>
    <col min="89" max="89" width="6.75" style="3" customWidth="1"/>
    <col min="90" max="90" width="5.625" style="3" customWidth="1"/>
    <col min="91" max="91" width="6.75" style="3" customWidth="1"/>
    <col min="92" max="93" width="6.5" style="3" bestFit="1" customWidth="1"/>
    <col min="94" max="94" width="6.5" style="3" customWidth="1"/>
    <col min="95" max="95" width="6.875" style="3" customWidth="1"/>
    <col min="96" max="96" width="6.5" style="3" bestFit="1" customWidth="1"/>
    <col min="97" max="97" width="7.5" style="3" bestFit="1" customWidth="1"/>
    <col min="98" max="100" width="6.5" style="3" bestFit="1" customWidth="1"/>
    <col min="101" max="101" width="20.25" style="3" bestFit="1" customWidth="1"/>
    <col min="102" max="104" width="5.25" style="3" bestFit="1" customWidth="1"/>
    <col min="105" max="105" width="7.5" style="3" bestFit="1" customWidth="1"/>
    <col min="106" max="106" width="6.625" style="3" customWidth="1"/>
    <col min="107" max="109" width="7.5" style="3" bestFit="1" customWidth="1"/>
    <col min="110" max="110" width="5.5" style="3" bestFit="1" customWidth="1"/>
    <col min="111" max="114" width="9" style="3"/>
    <col min="115" max="115" width="7.5" style="3" bestFit="1" customWidth="1"/>
    <col min="116" max="116" width="5.5" style="3" bestFit="1" customWidth="1"/>
    <col min="117" max="117" width="7.5" style="3" bestFit="1" customWidth="1"/>
    <col min="118" max="119" width="5.5" style="3" bestFit="1" customWidth="1"/>
    <col min="120" max="16384" width="9" style="3"/>
  </cols>
  <sheetData>
    <row r="1" spans="1:119" ht="20.25" x14ac:dyDescent="0.15">
      <c r="A1" s="9" t="s">
        <v>138</v>
      </c>
      <c r="B1" s="8" t="s">
        <v>181</v>
      </c>
      <c r="C1" s="8" t="s">
        <v>182</v>
      </c>
      <c r="D1" s="8" t="s">
        <v>183</v>
      </c>
      <c r="E1" s="8" t="s">
        <v>184</v>
      </c>
      <c r="F1" s="8" t="s">
        <v>185</v>
      </c>
      <c r="G1" s="8" t="s">
        <v>186</v>
      </c>
      <c r="H1" s="8" t="s">
        <v>187</v>
      </c>
      <c r="I1" s="8" t="s">
        <v>188</v>
      </c>
      <c r="J1" s="8" t="s">
        <v>189</v>
      </c>
      <c r="K1" s="8" t="s">
        <v>190</v>
      </c>
      <c r="L1" s="8" t="s">
        <v>191</v>
      </c>
      <c r="M1" s="8" t="s">
        <v>192</v>
      </c>
      <c r="N1" s="8" t="s">
        <v>193</v>
      </c>
      <c r="O1" s="8" t="s">
        <v>194</v>
      </c>
      <c r="P1" s="8" t="s">
        <v>195</v>
      </c>
      <c r="Q1" s="8" t="s">
        <v>196</v>
      </c>
      <c r="R1" s="8" t="s">
        <v>197</v>
      </c>
      <c r="S1" s="8" t="s">
        <v>198</v>
      </c>
      <c r="T1" s="8"/>
      <c r="U1" s="9" t="s">
        <v>177</v>
      </c>
      <c r="V1" s="8" t="s">
        <v>181</v>
      </c>
      <c r="W1" s="8" t="s">
        <v>182</v>
      </c>
      <c r="X1" s="8" t="s">
        <v>183</v>
      </c>
      <c r="Y1" s="8" t="s">
        <v>184</v>
      </c>
      <c r="Z1" s="8" t="s">
        <v>185</v>
      </c>
      <c r="AA1" s="8" t="s">
        <v>186</v>
      </c>
      <c r="AB1" s="8" t="s">
        <v>187</v>
      </c>
      <c r="AC1" s="8" t="s">
        <v>188</v>
      </c>
      <c r="AD1" s="8" t="s">
        <v>189</v>
      </c>
      <c r="AE1" s="8" t="s">
        <v>190</v>
      </c>
      <c r="AF1" s="8" t="s">
        <v>191</v>
      </c>
      <c r="AG1" s="8" t="s">
        <v>192</v>
      </c>
      <c r="AH1" s="8" t="s">
        <v>193</v>
      </c>
      <c r="AI1" s="8" t="s">
        <v>194</v>
      </c>
      <c r="AJ1" s="8" t="s">
        <v>195</v>
      </c>
      <c r="AK1" s="8" t="s">
        <v>196</v>
      </c>
      <c r="AL1" s="8" t="s">
        <v>197</v>
      </c>
      <c r="AM1" s="8" t="s">
        <v>198</v>
      </c>
      <c r="AN1" s="8"/>
      <c r="AO1" s="9" t="s">
        <v>202</v>
      </c>
      <c r="AP1" s="8" t="s">
        <v>181</v>
      </c>
      <c r="AQ1" s="8" t="s">
        <v>182</v>
      </c>
      <c r="AR1" s="8" t="s">
        <v>183</v>
      </c>
      <c r="AS1" s="8" t="s">
        <v>184</v>
      </c>
      <c r="AT1" s="8" t="s">
        <v>185</v>
      </c>
      <c r="AU1" s="8" t="s">
        <v>186</v>
      </c>
      <c r="AV1" s="8" t="s">
        <v>187</v>
      </c>
      <c r="AW1" s="8" t="s">
        <v>188</v>
      </c>
      <c r="AX1" s="8" t="s">
        <v>189</v>
      </c>
      <c r="AY1" s="8" t="s">
        <v>190</v>
      </c>
      <c r="AZ1" s="8" t="s">
        <v>191</v>
      </c>
      <c r="BA1" s="8" t="s">
        <v>192</v>
      </c>
      <c r="BB1" s="8" t="s">
        <v>193</v>
      </c>
      <c r="BC1" s="8" t="s">
        <v>194</v>
      </c>
      <c r="BD1" s="8" t="s">
        <v>195</v>
      </c>
      <c r="BE1" s="8" t="s">
        <v>196</v>
      </c>
      <c r="BF1" s="8" t="s">
        <v>197</v>
      </c>
      <c r="BG1" s="8" t="s">
        <v>198</v>
      </c>
      <c r="BH1" s="8"/>
      <c r="BI1" s="9" t="s">
        <v>178</v>
      </c>
      <c r="BJ1" s="8" t="s">
        <v>181</v>
      </c>
      <c r="BK1" s="8" t="s">
        <v>182</v>
      </c>
      <c r="BL1" s="8" t="s">
        <v>183</v>
      </c>
      <c r="BM1" s="8" t="s">
        <v>184</v>
      </c>
      <c r="BN1" s="8" t="s">
        <v>185</v>
      </c>
      <c r="BO1" s="8" t="s">
        <v>186</v>
      </c>
      <c r="BP1" s="8" t="s">
        <v>187</v>
      </c>
      <c r="BQ1" s="8" t="s">
        <v>188</v>
      </c>
      <c r="BR1" s="8" t="s">
        <v>189</v>
      </c>
      <c r="BS1" s="8" t="s">
        <v>190</v>
      </c>
      <c r="BT1" s="8" t="s">
        <v>191</v>
      </c>
      <c r="BU1" s="8" t="s">
        <v>192</v>
      </c>
      <c r="BV1" s="8" t="s">
        <v>193</v>
      </c>
      <c r="BW1" s="8" t="s">
        <v>194</v>
      </c>
      <c r="BX1" s="8" t="s">
        <v>195</v>
      </c>
      <c r="BY1" s="8" t="s">
        <v>196</v>
      </c>
      <c r="BZ1" s="8" t="s">
        <v>197</v>
      </c>
      <c r="CA1" s="8" t="s">
        <v>198</v>
      </c>
      <c r="CB1" s="8"/>
      <c r="CC1" s="9" t="s">
        <v>179</v>
      </c>
      <c r="CD1" s="8" t="s">
        <v>181</v>
      </c>
      <c r="CE1" s="8" t="s">
        <v>182</v>
      </c>
      <c r="CF1" s="8" t="s">
        <v>183</v>
      </c>
      <c r="CG1" s="8" t="s">
        <v>184</v>
      </c>
      <c r="CH1" s="8" t="s">
        <v>185</v>
      </c>
      <c r="CI1" s="8" t="s">
        <v>186</v>
      </c>
      <c r="CJ1" s="8" t="s">
        <v>187</v>
      </c>
      <c r="CK1" s="8" t="s">
        <v>188</v>
      </c>
      <c r="CL1" s="8" t="s">
        <v>189</v>
      </c>
      <c r="CM1" s="8" t="s">
        <v>190</v>
      </c>
      <c r="CN1" s="8" t="s">
        <v>191</v>
      </c>
      <c r="CO1" s="8" t="s">
        <v>192</v>
      </c>
      <c r="CP1" s="8" t="s">
        <v>193</v>
      </c>
      <c r="CQ1" s="8" t="s">
        <v>194</v>
      </c>
      <c r="CR1" s="8" t="s">
        <v>195</v>
      </c>
      <c r="CS1" s="8" t="s">
        <v>196</v>
      </c>
      <c r="CT1" s="8" t="s">
        <v>197</v>
      </c>
      <c r="CU1" s="8" t="s">
        <v>198</v>
      </c>
      <c r="CV1" s="8"/>
      <c r="CW1" s="9" t="s">
        <v>180</v>
      </c>
      <c r="CX1" s="8" t="s">
        <v>181</v>
      </c>
      <c r="CY1" s="8" t="s">
        <v>182</v>
      </c>
      <c r="CZ1" s="8" t="s">
        <v>183</v>
      </c>
      <c r="DA1" s="8" t="s">
        <v>184</v>
      </c>
      <c r="DB1" s="8" t="s">
        <v>185</v>
      </c>
      <c r="DC1" s="8" t="s">
        <v>186</v>
      </c>
      <c r="DD1" s="8" t="s">
        <v>187</v>
      </c>
      <c r="DE1" s="8" t="s">
        <v>188</v>
      </c>
      <c r="DF1" s="8" t="s">
        <v>189</v>
      </c>
      <c r="DG1" s="8" t="s">
        <v>190</v>
      </c>
      <c r="DH1" s="8" t="s">
        <v>191</v>
      </c>
      <c r="DI1" s="8" t="s">
        <v>192</v>
      </c>
      <c r="DJ1" s="8" t="s">
        <v>193</v>
      </c>
      <c r="DK1" s="8" t="s">
        <v>194</v>
      </c>
      <c r="DL1" s="8" t="s">
        <v>195</v>
      </c>
      <c r="DM1" s="8" t="s">
        <v>196</v>
      </c>
      <c r="DN1" s="8" t="s">
        <v>197</v>
      </c>
      <c r="DO1" s="8" t="s">
        <v>198</v>
      </c>
    </row>
    <row r="2" spans="1:119" ht="16.5" x14ac:dyDescent="0.15">
      <c r="A2" s="8" t="s">
        <v>181</v>
      </c>
      <c r="B2" s="3">
        <v>0</v>
      </c>
      <c r="C2" s="3">
        <v>4</v>
      </c>
      <c r="D2" s="3">
        <v>0</v>
      </c>
      <c r="E2" s="3">
        <v>2</v>
      </c>
      <c r="F2" s="3">
        <v>1</v>
      </c>
      <c r="G2" s="3">
        <v>0</v>
      </c>
      <c r="H2" s="3">
        <v>4</v>
      </c>
      <c r="I2" s="3">
        <v>5</v>
      </c>
      <c r="J2" s="3">
        <v>0</v>
      </c>
      <c r="K2" s="3">
        <v>2</v>
      </c>
      <c r="L2" s="3">
        <v>0</v>
      </c>
      <c r="M2" s="3">
        <v>3</v>
      </c>
      <c r="N2" s="3">
        <v>0</v>
      </c>
      <c r="O2" s="3">
        <v>1</v>
      </c>
      <c r="P2" s="3">
        <v>2</v>
      </c>
      <c r="Q2" s="3">
        <v>7</v>
      </c>
      <c r="R2" s="3">
        <v>0</v>
      </c>
      <c r="S2" s="3">
        <v>0</v>
      </c>
      <c r="U2" s="8" t="s">
        <v>181</v>
      </c>
      <c r="V2" s="3">
        <v>0</v>
      </c>
      <c r="W2" s="3">
        <v>2</v>
      </c>
      <c r="X2" s="3">
        <v>3</v>
      </c>
      <c r="Y2" s="3">
        <v>3</v>
      </c>
      <c r="Z2" s="3">
        <v>1</v>
      </c>
      <c r="AA2" s="3">
        <v>2</v>
      </c>
      <c r="AB2" s="3">
        <v>0</v>
      </c>
      <c r="AC2" s="3">
        <v>3</v>
      </c>
      <c r="AD2" s="3">
        <v>0</v>
      </c>
      <c r="AE2" s="3">
        <v>3</v>
      </c>
      <c r="AF2" s="3">
        <v>2</v>
      </c>
      <c r="AG2" s="3">
        <v>0</v>
      </c>
      <c r="AH2" s="3">
        <v>0</v>
      </c>
      <c r="AI2" s="3">
        <v>2</v>
      </c>
      <c r="AJ2" s="3">
        <v>3</v>
      </c>
      <c r="AK2" s="3">
        <v>4</v>
      </c>
      <c r="AL2" s="3">
        <v>1</v>
      </c>
      <c r="AM2" s="3">
        <v>0</v>
      </c>
      <c r="AO2" s="8" t="s">
        <v>181</v>
      </c>
      <c r="AP2" s="3">
        <v>0</v>
      </c>
      <c r="AQ2" s="3">
        <v>35</v>
      </c>
      <c r="AR2" s="3">
        <v>0</v>
      </c>
      <c r="AS2" s="3">
        <v>9</v>
      </c>
      <c r="AT2" s="3">
        <v>5</v>
      </c>
      <c r="AU2" s="3">
        <v>0</v>
      </c>
      <c r="AV2" s="3">
        <v>37</v>
      </c>
      <c r="AW2" s="3">
        <v>33</v>
      </c>
      <c r="AX2" s="3">
        <v>0</v>
      </c>
      <c r="AY2" s="3">
        <v>7</v>
      </c>
      <c r="AZ2" s="3">
        <v>0</v>
      </c>
      <c r="BA2" s="3">
        <v>15</v>
      </c>
      <c r="BB2" s="3">
        <v>0</v>
      </c>
      <c r="BC2" s="3">
        <v>3</v>
      </c>
      <c r="BD2" s="3">
        <v>16</v>
      </c>
      <c r="BE2" s="3">
        <v>47</v>
      </c>
      <c r="BF2" s="3">
        <v>0</v>
      </c>
      <c r="BG2" s="3">
        <v>0</v>
      </c>
      <c r="BI2" s="8" t="s">
        <v>181</v>
      </c>
      <c r="BJ2" s="3">
        <v>0</v>
      </c>
      <c r="BK2" s="3">
        <v>-8</v>
      </c>
      <c r="BL2" s="3">
        <v>-21</v>
      </c>
      <c r="BM2" s="3">
        <v>-12</v>
      </c>
      <c r="BN2" s="3">
        <v>-3</v>
      </c>
      <c r="BO2" s="3">
        <v>-5</v>
      </c>
      <c r="BP2" s="3">
        <v>0</v>
      </c>
      <c r="BQ2" s="3">
        <v>-25</v>
      </c>
      <c r="BR2" s="3">
        <v>0</v>
      </c>
      <c r="BS2" s="3">
        <v>-15</v>
      </c>
      <c r="BT2" s="3">
        <v>-8</v>
      </c>
      <c r="BU2" s="3">
        <v>0</v>
      </c>
      <c r="BV2" s="3">
        <v>0</v>
      </c>
      <c r="BW2" s="3">
        <v>-12</v>
      </c>
      <c r="BX2" s="3">
        <v>-17</v>
      </c>
      <c r="BY2" s="3">
        <v>-28</v>
      </c>
      <c r="BZ2" s="3">
        <v>-2</v>
      </c>
      <c r="CA2" s="3">
        <v>0</v>
      </c>
      <c r="CC2" s="8" t="s">
        <v>181</v>
      </c>
      <c r="CD2" s="10">
        <v>0</v>
      </c>
      <c r="CE2" s="10">
        <v>0.66666666666666663</v>
      </c>
      <c r="CF2" s="10">
        <v>-1</v>
      </c>
      <c r="CG2" s="10">
        <v>0.4</v>
      </c>
      <c r="CH2" s="10">
        <v>0.5</v>
      </c>
      <c r="CI2" s="10">
        <v>-1</v>
      </c>
      <c r="CJ2" s="10">
        <v>1</v>
      </c>
      <c r="CK2" s="10">
        <v>0.625</v>
      </c>
      <c r="CL2" s="10">
        <v>0</v>
      </c>
      <c r="CM2" s="10">
        <v>0.4</v>
      </c>
      <c r="CN2" s="10">
        <v>-1</v>
      </c>
      <c r="CO2" s="10">
        <v>1</v>
      </c>
      <c r="CP2" s="10">
        <v>0</v>
      </c>
      <c r="CQ2" s="10">
        <v>0.33333333333333331</v>
      </c>
      <c r="CR2" s="10">
        <v>0.4</v>
      </c>
      <c r="CS2" s="10">
        <v>0.63636363636363635</v>
      </c>
      <c r="CT2" s="10">
        <v>-1</v>
      </c>
      <c r="CU2" s="10">
        <v>0</v>
      </c>
      <c r="CV2" s="10"/>
      <c r="CW2" s="8" t="s">
        <v>181</v>
      </c>
      <c r="CX2" s="11">
        <v>0</v>
      </c>
      <c r="CY2" s="11">
        <v>4.5</v>
      </c>
      <c r="CZ2" s="11">
        <v>-7</v>
      </c>
      <c r="DA2" s="11">
        <v>-0.6</v>
      </c>
      <c r="DB2" s="11">
        <v>1</v>
      </c>
      <c r="DC2" s="11">
        <v>-2.5</v>
      </c>
      <c r="DD2" s="11">
        <v>9.25</v>
      </c>
      <c r="DE2" s="11">
        <v>1</v>
      </c>
      <c r="DF2" s="11">
        <v>0</v>
      </c>
      <c r="DG2" s="11">
        <v>-1.6</v>
      </c>
      <c r="DH2" s="11">
        <v>-4</v>
      </c>
      <c r="DI2" s="11">
        <v>5</v>
      </c>
      <c r="DJ2" s="11">
        <v>0</v>
      </c>
      <c r="DK2" s="11">
        <v>-3</v>
      </c>
      <c r="DL2" s="11">
        <v>-0.2</v>
      </c>
      <c r="DM2" s="11">
        <v>1.7272727272727273</v>
      </c>
      <c r="DN2" s="11">
        <v>-2</v>
      </c>
      <c r="DO2" s="11">
        <v>0</v>
      </c>
    </row>
    <row r="3" spans="1:119" ht="16.5" x14ac:dyDescent="0.15">
      <c r="A3" s="8" t="s">
        <v>182</v>
      </c>
      <c r="B3" s="3">
        <v>4</v>
      </c>
      <c r="C3" s="3">
        <v>0</v>
      </c>
      <c r="D3" s="3">
        <v>0</v>
      </c>
      <c r="E3" s="3">
        <v>3</v>
      </c>
      <c r="F3" s="3">
        <v>1</v>
      </c>
      <c r="G3" s="3">
        <v>6</v>
      </c>
      <c r="H3" s="3">
        <v>1</v>
      </c>
      <c r="I3" s="3">
        <v>7</v>
      </c>
      <c r="J3" s="3">
        <v>1</v>
      </c>
      <c r="K3" s="3">
        <v>2</v>
      </c>
      <c r="L3" s="3">
        <v>5</v>
      </c>
      <c r="M3" s="3">
        <v>0</v>
      </c>
      <c r="N3" s="3">
        <v>0</v>
      </c>
      <c r="O3" s="3">
        <v>0</v>
      </c>
      <c r="P3" s="3">
        <v>2</v>
      </c>
      <c r="Q3" s="3">
        <v>6</v>
      </c>
      <c r="R3" s="3">
        <v>5</v>
      </c>
      <c r="S3" s="3">
        <v>0</v>
      </c>
      <c r="U3" s="8" t="s">
        <v>182</v>
      </c>
      <c r="V3" s="3">
        <v>2</v>
      </c>
      <c r="W3" s="3">
        <v>0</v>
      </c>
      <c r="X3" s="3">
        <v>8</v>
      </c>
      <c r="Y3" s="3">
        <v>2</v>
      </c>
      <c r="Z3" s="3">
        <v>1</v>
      </c>
      <c r="AA3" s="3">
        <v>2</v>
      </c>
      <c r="AB3" s="3">
        <v>1</v>
      </c>
      <c r="AC3" s="3">
        <v>6</v>
      </c>
      <c r="AD3" s="3">
        <v>2</v>
      </c>
      <c r="AE3" s="3">
        <v>0</v>
      </c>
      <c r="AF3" s="3">
        <v>5</v>
      </c>
      <c r="AG3" s="3">
        <v>6</v>
      </c>
      <c r="AH3" s="3">
        <v>1</v>
      </c>
      <c r="AI3" s="3">
        <v>1</v>
      </c>
      <c r="AJ3" s="3">
        <v>0</v>
      </c>
      <c r="AK3" s="3">
        <v>1</v>
      </c>
      <c r="AL3" s="3">
        <v>3</v>
      </c>
      <c r="AM3" s="3">
        <v>0</v>
      </c>
      <c r="AO3" s="8" t="s">
        <v>182</v>
      </c>
      <c r="AP3" s="3">
        <v>35</v>
      </c>
      <c r="AQ3" s="3">
        <v>0</v>
      </c>
      <c r="AR3" s="3">
        <v>0</v>
      </c>
      <c r="AS3" s="3">
        <v>16</v>
      </c>
      <c r="AT3" s="3">
        <v>12</v>
      </c>
      <c r="AU3" s="3">
        <v>36</v>
      </c>
      <c r="AV3" s="3">
        <v>8</v>
      </c>
      <c r="AW3" s="3">
        <v>46</v>
      </c>
      <c r="AX3" s="3">
        <v>4</v>
      </c>
      <c r="AY3" s="3">
        <v>9</v>
      </c>
      <c r="AZ3" s="3">
        <v>24</v>
      </c>
      <c r="BA3" s="3">
        <v>0</v>
      </c>
      <c r="BB3" s="3">
        <v>0</v>
      </c>
      <c r="BC3" s="3">
        <v>0</v>
      </c>
      <c r="BD3" s="3">
        <v>11</v>
      </c>
      <c r="BE3" s="3">
        <v>38</v>
      </c>
      <c r="BF3" s="3">
        <v>43</v>
      </c>
      <c r="BG3" s="3">
        <v>0</v>
      </c>
      <c r="BI3" s="8" t="s">
        <v>182</v>
      </c>
      <c r="BJ3" s="3">
        <v>-8</v>
      </c>
      <c r="BK3" s="3">
        <v>0</v>
      </c>
      <c r="BL3" s="3">
        <v>-41</v>
      </c>
      <c r="BM3" s="3">
        <v>-7</v>
      </c>
      <c r="BN3" s="3">
        <v>-2</v>
      </c>
      <c r="BO3" s="3">
        <v>-12</v>
      </c>
      <c r="BP3" s="3">
        <v>-2</v>
      </c>
      <c r="BQ3" s="3">
        <v>-24</v>
      </c>
      <c r="BR3" s="3">
        <v>-12</v>
      </c>
      <c r="BS3" s="3">
        <v>0</v>
      </c>
      <c r="BT3" s="3">
        <v>-21</v>
      </c>
      <c r="BU3" s="3">
        <v>-44</v>
      </c>
      <c r="BV3" s="3">
        <v>-4</v>
      </c>
      <c r="BW3" s="3">
        <v>-8</v>
      </c>
      <c r="BX3" s="3">
        <v>0</v>
      </c>
      <c r="BY3" s="3">
        <v>-6</v>
      </c>
      <c r="BZ3" s="3">
        <v>-16</v>
      </c>
      <c r="CA3" s="3">
        <v>0</v>
      </c>
      <c r="CC3" s="8" t="s">
        <v>182</v>
      </c>
      <c r="CD3" s="10">
        <v>0.66666666666666663</v>
      </c>
      <c r="CE3" s="10">
        <v>0</v>
      </c>
      <c r="CF3" s="10">
        <v>-1</v>
      </c>
      <c r="CG3" s="10">
        <v>0.6</v>
      </c>
      <c r="CH3" s="10">
        <v>0.5</v>
      </c>
      <c r="CI3" s="10">
        <v>0.75</v>
      </c>
      <c r="CJ3" s="10">
        <v>0.5</v>
      </c>
      <c r="CK3" s="10">
        <v>0.53846153846153844</v>
      </c>
      <c r="CL3" s="10">
        <v>0.33333333333333331</v>
      </c>
      <c r="CM3" s="10">
        <v>1</v>
      </c>
      <c r="CN3" s="10">
        <v>0.5</v>
      </c>
      <c r="CO3" s="10">
        <v>-1</v>
      </c>
      <c r="CP3" s="10">
        <v>-1</v>
      </c>
      <c r="CQ3" s="10">
        <v>-1</v>
      </c>
      <c r="CR3" s="10">
        <v>1</v>
      </c>
      <c r="CS3" s="10">
        <v>0.8571428571428571</v>
      </c>
      <c r="CT3" s="10">
        <v>0.625</v>
      </c>
      <c r="CU3" s="10">
        <v>0</v>
      </c>
      <c r="CV3" s="10"/>
      <c r="CW3" s="8" t="s">
        <v>182</v>
      </c>
      <c r="CX3" s="11">
        <v>4.5</v>
      </c>
      <c r="CY3" s="11">
        <v>0</v>
      </c>
      <c r="CZ3" s="11">
        <v>-5.125</v>
      </c>
      <c r="DA3" s="11">
        <v>1.8</v>
      </c>
      <c r="DB3" s="11">
        <v>5</v>
      </c>
      <c r="DC3" s="11">
        <v>3</v>
      </c>
      <c r="DD3" s="11">
        <v>3</v>
      </c>
      <c r="DE3" s="11">
        <v>1.6923076923076923</v>
      </c>
      <c r="DF3" s="11">
        <v>-2.6666666666666665</v>
      </c>
      <c r="DG3" s="11">
        <v>4.5</v>
      </c>
      <c r="DH3" s="11">
        <v>0.3</v>
      </c>
      <c r="DI3" s="11">
        <v>-7.333333333333333</v>
      </c>
      <c r="DJ3" s="11">
        <v>-4</v>
      </c>
      <c r="DK3" s="11">
        <v>-8</v>
      </c>
      <c r="DL3" s="11">
        <v>5.5</v>
      </c>
      <c r="DM3" s="11">
        <v>4.5714285714285712</v>
      </c>
      <c r="DN3" s="11">
        <v>3.375</v>
      </c>
      <c r="DO3" s="11">
        <v>0</v>
      </c>
    </row>
    <row r="4" spans="1:119" ht="16.5" x14ac:dyDescent="0.15">
      <c r="A4" s="8" t="s">
        <v>183</v>
      </c>
      <c r="B4" s="3">
        <v>0</v>
      </c>
      <c r="C4" s="3">
        <v>0</v>
      </c>
      <c r="D4" s="3">
        <v>0</v>
      </c>
      <c r="E4" s="3">
        <v>0</v>
      </c>
      <c r="F4" s="3">
        <v>1</v>
      </c>
      <c r="G4" s="3">
        <v>5</v>
      </c>
      <c r="H4" s="3">
        <v>1</v>
      </c>
      <c r="I4" s="3">
        <v>0</v>
      </c>
      <c r="J4" s="3">
        <v>0</v>
      </c>
      <c r="K4" s="3">
        <v>0</v>
      </c>
      <c r="L4" s="3">
        <v>0</v>
      </c>
      <c r="M4" s="3">
        <v>1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U4" s="8" t="s">
        <v>183</v>
      </c>
      <c r="V4" s="3">
        <v>3</v>
      </c>
      <c r="W4" s="3">
        <v>8</v>
      </c>
      <c r="X4" s="3">
        <v>0</v>
      </c>
      <c r="Y4" s="3">
        <v>2</v>
      </c>
      <c r="Z4" s="3">
        <v>0</v>
      </c>
      <c r="AA4" s="3">
        <v>4</v>
      </c>
      <c r="AB4" s="3">
        <v>1</v>
      </c>
      <c r="AC4" s="3">
        <v>5</v>
      </c>
      <c r="AD4" s="3">
        <v>0</v>
      </c>
      <c r="AE4" s="3">
        <v>2</v>
      </c>
      <c r="AF4" s="3">
        <v>3</v>
      </c>
      <c r="AG4" s="3">
        <v>2</v>
      </c>
      <c r="AH4" s="3">
        <v>0</v>
      </c>
      <c r="AI4" s="3">
        <v>0</v>
      </c>
      <c r="AJ4" s="3">
        <v>0</v>
      </c>
      <c r="AK4" s="3">
        <v>1</v>
      </c>
      <c r="AL4" s="3">
        <v>1</v>
      </c>
      <c r="AM4" s="3">
        <v>1</v>
      </c>
      <c r="AO4" s="8" t="s">
        <v>183</v>
      </c>
      <c r="AP4" s="3">
        <v>0</v>
      </c>
      <c r="AQ4" s="3">
        <v>0</v>
      </c>
      <c r="AR4" s="3">
        <v>0</v>
      </c>
      <c r="AS4" s="3">
        <v>0</v>
      </c>
      <c r="AT4" s="3">
        <v>2</v>
      </c>
      <c r="AU4" s="3">
        <v>47</v>
      </c>
      <c r="AV4" s="3">
        <v>11</v>
      </c>
      <c r="AW4" s="3">
        <v>0</v>
      </c>
      <c r="AX4" s="3">
        <v>0</v>
      </c>
      <c r="AY4" s="3">
        <v>0</v>
      </c>
      <c r="AZ4" s="3">
        <v>0</v>
      </c>
      <c r="BA4" s="3">
        <v>2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I4" s="8" t="s">
        <v>183</v>
      </c>
      <c r="BJ4" s="3">
        <v>-21</v>
      </c>
      <c r="BK4" s="3">
        <v>-41</v>
      </c>
      <c r="BL4" s="3">
        <v>0</v>
      </c>
      <c r="BM4" s="3">
        <v>-22</v>
      </c>
      <c r="BN4" s="3">
        <v>0</v>
      </c>
      <c r="BO4" s="3">
        <v>-27</v>
      </c>
      <c r="BP4" s="3">
        <v>-8</v>
      </c>
      <c r="BQ4" s="3">
        <v>-33</v>
      </c>
      <c r="BR4" s="3">
        <v>0</v>
      </c>
      <c r="BS4" s="3">
        <v>-17</v>
      </c>
      <c r="BT4" s="3">
        <v>-28</v>
      </c>
      <c r="BU4" s="3">
        <v>-15</v>
      </c>
      <c r="BV4" s="3">
        <v>0</v>
      </c>
      <c r="BW4" s="3">
        <v>0</v>
      </c>
      <c r="BX4" s="3">
        <v>0</v>
      </c>
      <c r="BY4" s="3">
        <v>-7</v>
      </c>
      <c r="BZ4" s="3">
        <v>-17</v>
      </c>
      <c r="CA4" s="3">
        <v>-6</v>
      </c>
      <c r="CC4" s="8" t="s">
        <v>183</v>
      </c>
      <c r="CD4" s="10">
        <v>-1</v>
      </c>
      <c r="CE4" s="10">
        <v>-1</v>
      </c>
      <c r="CF4" s="10">
        <v>0</v>
      </c>
      <c r="CG4" s="10">
        <v>-1</v>
      </c>
      <c r="CH4" s="10">
        <v>1</v>
      </c>
      <c r="CI4" s="10">
        <v>0.55555555555555558</v>
      </c>
      <c r="CJ4" s="10">
        <v>0.5</v>
      </c>
      <c r="CK4" s="10">
        <v>-1</v>
      </c>
      <c r="CL4" s="10">
        <v>0</v>
      </c>
      <c r="CM4" s="10">
        <v>-1</v>
      </c>
      <c r="CN4" s="10">
        <v>-1</v>
      </c>
      <c r="CO4" s="10">
        <v>0.33333333333333331</v>
      </c>
      <c r="CP4" s="10">
        <v>0</v>
      </c>
      <c r="CQ4" s="10">
        <v>0</v>
      </c>
      <c r="CR4" s="10">
        <v>0</v>
      </c>
      <c r="CS4" s="10">
        <v>-1</v>
      </c>
      <c r="CT4" s="10">
        <v>-1</v>
      </c>
      <c r="CU4" s="10">
        <v>-1</v>
      </c>
      <c r="CV4" s="10"/>
      <c r="CW4" s="8" t="s">
        <v>183</v>
      </c>
      <c r="CX4" s="11">
        <v>-7</v>
      </c>
      <c r="CY4" s="11">
        <v>-5.125</v>
      </c>
      <c r="CZ4" s="11">
        <v>0</v>
      </c>
      <c r="DA4" s="11">
        <v>-11</v>
      </c>
      <c r="DB4" s="11">
        <v>2</v>
      </c>
      <c r="DC4" s="11">
        <v>2.2222222222222223</v>
      </c>
      <c r="DD4" s="11">
        <v>1.5</v>
      </c>
      <c r="DE4" s="11">
        <v>-6.6</v>
      </c>
      <c r="DF4" s="11">
        <v>0</v>
      </c>
      <c r="DG4" s="11">
        <v>-8.5</v>
      </c>
      <c r="DH4" s="11">
        <v>-9.3333333333333339</v>
      </c>
      <c r="DI4" s="11">
        <v>-4.333333333333333</v>
      </c>
      <c r="DJ4" s="11">
        <v>0</v>
      </c>
      <c r="DK4" s="11">
        <v>0</v>
      </c>
      <c r="DL4" s="11">
        <v>0</v>
      </c>
      <c r="DM4" s="11">
        <v>-7</v>
      </c>
      <c r="DN4" s="11">
        <v>-17</v>
      </c>
      <c r="DO4" s="11">
        <v>-6</v>
      </c>
    </row>
    <row r="5" spans="1:119" ht="16.5" x14ac:dyDescent="0.15">
      <c r="A5" s="8" t="s">
        <v>184</v>
      </c>
      <c r="B5" s="3">
        <v>2</v>
      </c>
      <c r="C5" s="3">
        <v>3</v>
      </c>
      <c r="D5" s="3">
        <v>0</v>
      </c>
      <c r="E5" s="3">
        <v>0</v>
      </c>
      <c r="F5" s="3">
        <v>0</v>
      </c>
      <c r="G5" s="3">
        <v>2</v>
      </c>
      <c r="H5" s="3">
        <v>0</v>
      </c>
      <c r="I5" s="3">
        <v>6</v>
      </c>
      <c r="J5" s="3">
        <v>1</v>
      </c>
      <c r="K5" s="3">
        <v>1</v>
      </c>
      <c r="L5" s="3">
        <v>0</v>
      </c>
      <c r="M5" s="3">
        <v>0</v>
      </c>
      <c r="N5" s="3">
        <v>2</v>
      </c>
      <c r="O5" s="3">
        <v>0</v>
      </c>
      <c r="P5" s="3">
        <v>0</v>
      </c>
      <c r="Q5" s="3">
        <v>0</v>
      </c>
      <c r="R5" s="3">
        <v>1</v>
      </c>
      <c r="S5" s="3">
        <v>0</v>
      </c>
      <c r="U5" s="8" t="s">
        <v>184</v>
      </c>
      <c r="V5" s="3">
        <v>3</v>
      </c>
      <c r="W5" s="3">
        <v>2</v>
      </c>
      <c r="X5" s="3">
        <v>2</v>
      </c>
      <c r="Y5" s="3">
        <v>0</v>
      </c>
      <c r="Z5" s="3">
        <v>3</v>
      </c>
      <c r="AA5" s="3">
        <v>3</v>
      </c>
      <c r="AB5" s="3">
        <v>4</v>
      </c>
      <c r="AC5" s="3">
        <v>6</v>
      </c>
      <c r="AD5" s="3">
        <v>6</v>
      </c>
      <c r="AE5" s="3">
        <v>2</v>
      </c>
      <c r="AF5" s="3">
        <v>1</v>
      </c>
      <c r="AG5" s="3">
        <v>0</v>
      </c>
      <c r="AH5" s="3">
        <v>3</v>
      </c>
      <c r="AI5" s="3">
        <v>1</v>
      </c>
      <c r="AJ5" s="3">
        <v>0</v>
      </c>
      <c r="AK5" s="3">
        <v>0</v>
      </c>
      <c r="AL5" s="3">
        <v>2</v>
      </c>
      <c r="AM5" s="3">
        <v>0</v>
      </c>
      <c r="AO5" s="8" t="s">
        <v>184</v>
      </c>
      <c r="AP5" s="3">
        <v>9</v>
      </c>
      <c r="AQ5" s="3">
        <v>16</v>
      </c>
      <c r="AR5" s="3">
        <v>0</v>
      </c>
      <c r="AS5" s="3">
        <v>0</v>
      </c>
      <c r="AT5" s="3">
        <v>0</v>
      </c>
      <c r="AU5" s="3">
        <v>11</v>
      </c>
      <c r="AV5" s="3">
        <v>0</v>
      </c>
      <c r="AW5" s="3">
        <v>34</v>
      </c>
      <c r="AX5" s="3">
        <v>2</v>
      </c>
      <c r="AY5" s="3">
        <v>6</v>
      </c>
      <c r="AZ5" s="3">
        <v>0</v>
      </c>
      <c r="BA5" s="3">
        <v>0</v>
      </c>
      <c r="BB5" s="3">
        <v>4</v>
      </c>
      <c r="BC5" s="3">
        <v>0</v>
      </c>
      <c r="BD5" s="3">
        <v>0</v>
      </c>
      <c r="BE5" s="3">
        <v>0</v>
      </c>
      <c r="BF5" s="3">
        <v>10</v>
      </c>
      <c r="BG5" s="3">
        <v>0</v>
      </c>
      <c r="BI5" s="8" t="s">
        <v>184</v>
      </c>
      <c r="BJ5" s="3">
        <v>-12</v>
      </c>
      <c r="BK5" s="3">
        <v>-7</v>
      </c>
      <c r="BL5" s="3">
        <v>-22</v>
      </c>
      <c r="BM5" s="3">
        <v>0</v>
      </c>
      <c r="BN5" s="3">
        <v>-17</v>
      </c>
      <c r="BO5" s="3">
        <v>-17</v>
      </c>
      <c r="BP5" s="3">
        <v>-19</v>
      </c>
      <c r="BQ5" s="3">
        <v>-38</v>
      </c>
      <c r="BR5" s="3">
        <v>-34</v>
      </c>
      <c r="BS5" s="3">
        <v>-14</v>
      </c>
      <c r="BT5" s="3">
        <v>-14</v>
      </c>
      <c r="BU5" s="3">
        <v>0</v>
      </c>
      <c r="BV5" s="3">
        <v>-31</v>
      </c>
      <c r="BW5" s="3">
        <v>-8</v>
      </c>
      <c r="BX5" s="3">
        <v>0</v>
      </c>
      <c r="BY5" s="3">
        <v>0</v>
      </c>
      <c r="BZ5" s="3">
        <v>-12</v>
      </c>
      <c r="CA5" s="3">
        <v>0</v>
      </c>
      <c r="CC5" s="8" t="s">
        <v>184</v>
      </c>
      <c r="CD5" s="10">
        <v>0.4</v>
      </c>
      <c r="CE5" s="10">
        <v>0.6</v>
      </c>
      <c r="CF5" s="10">
        <v>-1</v>
      </c>
      <c r="CG5" s="10">
        <v>0</v>
      </c>
      <c r="CH5" s="10">
        <v>-1</v>
      </c>
      <c r="CI5" s="10">
        <v>0.4</v>
      </c>
      <c r="CJ5" s="10">
        <v>-1</v>
      </c>
      <c r="CK5" s="10">
        <v>0.5</v>
      </c>
      <c r="CL5" s="10">
        <v>0.14285714285714285</v>
      </c>
      <c r="CM5" s="10">
        <v>0.33333333333333331</v>
      </c>
      <c r="CN5" s="10">
        <v>-1</v>
      </c>
      <c r="CO5" s="10">
        <v>0</v>
      </c>
      <c r="CP5" s="10">
        <v>0.4</v>
      </c>
      <c r="CQ5" s="10">
        <v>-1</v>
      </c>
      <c r="CR5" s="10">
        <v>0</v>
      </c>
      <c r="CS5" s="10">
        <v>0</v>
      </c>
      <c r="CT5" s="10">
        <v>0.33333333333333331</v>
      </c>
      <c r="CU5" s="10">
        <v>0</v>
      </c>
      <c r="CV5" s="10"/>
      <c r="CW5" s="8" t="s">
        <v>184</v>
      </c>
      <c r="CX5" s="11">
        <v>-0.6</v>
      </c>
      <c r="CY5" s="11">
        <v>1.8</v>
      </c>
      <c r="CZ5" s="11">
        <v>-11</v>
      </c>
      <c r="DA5" s="11">
        <v>0</v>
      </c>
      <c r="DB5" s="11">
        <v>-5.666666666666667</v>
      </c>
      <c r="DC5" s="11">
        <v>-1.2</v>
      </c>
      <c r="DD5" s="11">
        <v>-4.75</v>
      </c>
      <c r="DE5" s="11">
        <v>-0.33333333333333331</v>
      </c>
      <c r="DF5" s="11">
        <v>-4.5714285714285712</v>
      </c>
      <c r="DG5" s="11">
        <v>-2.6666666666666665</v>
      </c>
      <c r="DH5" s="11">
        <v>-14</v>
      </c>
      <c r="DI5" s="11">
        <v>0</v>
      </c>
      <c r="DJ5" s="11">
        <v>-5.4</v>
      </c>
      <c r="DK5" s="11">
        <v>-8</v>
      </c>
      <c r="DL5" s="11">
        <v>0</v>
      </c>
      <c r="DM5" s="11">
        <v>0</v>
      </c>
      <c r="DN5" s="11">
        <v>-0.66666666666666663</v>
      </c>
      <c r="DO5" s="11">
        <v>0</v>
      </c>
    </row>
    <row r="6" spans="1:119" ht="16.5" x14ac:dyDescent="0.15">
      <c r="A6" s="8" t="s">
        <v>185</v>
      </c>
      <c r="B6" s="3">
        <v>1</v>
      </c>
      <c r="C6" s="3">
        <v>1</v>
      </c>
      <c r="D6" s="3">
        <v>1</v>
      </c>
      <c r="E6" s="3">
        <v>0</v>
      </c>
      <c r="F6" s="3">
        <v>0</v>
      </c>
      <c r="G6" s="3">
        <v>1</v>
      </c>
      <c r="H6" s="3">
        <v>2</v>
      </c>
      <c r="I6" s="3">
        <v>3</v>
      </c>
      <c r="J6" s="3">
        <v>1</v>
      </c>
      <c r="K6" s="3">
        <v>0</v>
      </c>
      <c r="L6" s="3">
        <v>2</v>
      </c>
      <c r="M6" s="3">
        <v>2</v>
      </c>
      <c r="N6" s="3">
        <v>0</v>
      </c>
      <c r="O6" s="3">
        <v>0</v>
      </c>
      <c r="P6" s="3">
        <v>1</v>
      </c>
      <c r="Q6" s="3">
        <v>1</v>
      </c>
      <c r="R6" s="3">
        <v>0</v>
      </c>
      <c r="S6" s="3">
        <v>0</v>
      </c>
      <c r="U6" s="8" t="s">
        <v>185</v>
      </c>
      <c r="V6" s="3">
        <v>1</v>
      </c>
      <c r="W6" s="3">
        <v>1</v>
      </c>
      <c r="X6" s="3">
        <v>0</v>
      </c>
      <c r="Y6" s="3">
        <v>3</v>
      </c>
      <c r="Z6" s="3">
        <v>0</v>
      </c>
      <c r="AA6" s="3">
        <v>0</v>
      </c>
      <c r="AB6" s="3">
        <v>0</v>
      </c>
      <c r="AC6" s="3">
        <v>3</v>
      </c>
      <c r="AD6" s="3">
        <v>0</v>
      </c>
      <c r="AE6" s="3">
        <v>0</v>
      </c>
      <c r="AF6" s="3">
        <v>7</v>
      </c>
      <c r="AG6" s="3">
        <v>5</v>
      </c>
      <c r="AH6" s="3">
        <v>0</v>
      </c>
      <c r="AI6" s="3">
        <v>0</v>
      </c>
      <c r="AJ6" s="3">
        <v>0</v>
      </c>
      <c r="AK6" s="3">
        <v>2</v>
      </c>
      <c r="AL6" s="3">
        <v>0</v>
      </c>
      <c r="AM6" s="3">
        <v>0</v>
      </c>
      <c r="AO6" s="8" t="s">
        <v>185</v>
      </c>
      <c r="AP6" s="3">
        <v>5</v>
      </c>
      <c r="AQ6" s="3">
        <v>12</v>
      </c>
      <c r="AR6" s="3">
        <v>2</v>
      </c>
      <c r="AS6" s="3">
        <v>0</v>
      </c>
      <c r="AT6" s="3">
        <v>0</v>
      </c>
      <c r="AU6" s="3">
        <v>7</v>
      </c>
      <c r="AV6" s="3">
        <v>23</v>
      </c>
      <c r="AW6" s="3">
        <v>25</v>
      </c>
      <c r="AX6" s="3">
        <v>2</v>
      </c>
      <c r="AY6" s="3">
        <v>0</v>
      </c>
      <c r="AZ6" s="3">
        <v>9</v>
      </c>
      <c r="BA6" s="3">
        <v>14</v>
      </c>
      <c r="BB6" s="3">
        <v>0</v>
      </c>
      <c r="BC6" s="3">
        <v>0</v>
      </c>
      <c r="BD6" s="3">
        <v>14</v>
      </c>
      <c r="BE6" s="3">
        <v>3</v>
      </c>
      <c r="BF6" s="3">
        <v>0</v>
      </c>
      <c r="BG6" s="3">
        <v>0</v>
      </c>
      <c r="BI6" s="8" t="s">
        <v>185</v>
      </c>
      <c r="BJ6" s="3">
        <v>-3</v>
      </c>
      <c r="BK6" s="3">
        <v>-2</v>
      </c>
      <c r="BL6" s="3">
        <v>0</v>
      </c>
      <c r="BM6" s="3">
        <v>-17</v>
      </c>
      <c r="BN6" s="3">
        <v>0</v>
      </c>
      <c r="BO6" s="3">
        <v>0</v>
      </c>
      <c r="BP6" s="3">
        <v>0</v>
      </c>
      <c r="BQ6" s="3">
        <v>-15</v>
      </c>
      <c r="BR6" s="3">
        <v>0</v>
      </c>
      <c r="BS6" s="3">
        <v>0</v>
      </c>
      <c r="BT6" s="3">
        <v>-36</v>
      </c>
      <c r="BU6" s="3">
        <v>-23</v>
      </c>
      <c r="BV6" s="3">
        <v>0</v>
      </c>
      <c r="BW6" s="3">
        <v>0</v>
      </c>
      <c r="BX6" s="3">
        <v>0</v>
      </c>
      <c r="BY6" s="3">
        <v>-17</v>
      </c>
      <c r="BZ6" s="3">
        <v>0</v>
      </c>
      <c r="CA6" s="3">
        <v>0</v>
      </c>
      <c r="CC6" s="8" t="s">
        <v>185</v>
      </c>
      <c r="CD6" s="10">
        <v>0.5</v>
      </c>
      <c r="CE6" s="10">
        <v>0.5</v>
      </c>
      <c r="CF6" s="10">
        <v>1</v>
      </c>
      <c r="CG6" s="10">
        <v>-1</v>
      </c>
      <c r="CH6" s="10">
        <v>0</v>
      </c>
      <c r="CI6" s="10">
        <v>1</v>
      </c>
      <c r="CJ6" s="10">
        <v>1</v>
      </c>
      <c r="CK6" s="10">
        <v>0.5</v>
      </c>
      <c r="CL6" s="10">
        <v>1</v>
      </c>
      <c r="CM6" s="10">
        <v>0</v>
      </c>
      <c r="CN6" s="10">
        <v>0.22222222222222221</v>
      </c>
      <c r="CO6" s="10">
        <v>0.2857142857142857</v>
      </c>
      <c r="CP6" s="10">
        <v>0</v>
      </c>
      <c r="CQ6" s="10">
        <v>0</v>
      </c>
      <c r="CR6" s="10">
        <v>1</v>
      </c>
      <c r="CS6" s="10">
        <v>0.33333333333333331</v>
      </c>
      <c r="CT6" s="10">
        <v>0</v>
      </c>
      <c r="CU6" s="10">
        <v>0</v>
      </c>
      <c r="CV6" s="10"/>
      <c r="CW6" s="8" t="s">
        <v>185</v>
      </c>
      <c r="CX6" s="11">
        <v>1</v>
      </c>
      <c r="CY6" s="11">
        <v>5</v>
      </c>
      <c r="CZ6" s="11">
        <v>2</v>
      </c>
      <c r="DA6" s="11">
        <v>-5.666666666666667</v>
      </c>
      <c r="DB6" s="11">
        <v>0</v>
      </c>
      <c r="DC6" s="11">
        <v>7</v>
      </c>
      <c r="DD6" s="11">
        <v>11.5</v>
      </c>
      <c r="DE6" s="11">
        <v>1.6666666666666667</v>
      </c>
      <c r="DF6" s="11">
        <v>2</v>
      </c>
      <c r="DG6" s="11">
        <v>0</v>
      </c>
      <c r="DH6" s="11">
        <v>-3</v>
      </c>
      <c r="DI6" s="11">
        <v>-1.2857142857142858</v>
      </c>
      <c r="DJ6" s="11">
        <v>0</v>
      </c>
      <c r="DK6" s="11">
        <v>0</v>
      </c>
      <c r="DL6" s="11">
        <v>14</v>
      </c>
      <c r="DM6" s="11">
        <v>-4.666666666666667</v>
      </c>
      <c r="DN6" s="11">
        <v>0</v>
      </c>
      <c r="DO6" s="11">
        <v>0</v>
      </c>
    </row>
    <row r="7" spans="1:119" ht="16.5" x14ac:dyDescent="0.15">
      <c r="A7" s="8" t="s">
        <v>186</v>
      </c>
      <c r="B7" s="3">
        <v>0</v>
      </c>
      <c r="C7" s="3">
        <v>6</v>
      </c>
      <c r="D7" s="3">
        <v>5</v>
      </c>
      <c r="E7" s="3">
        <v>2</v>
      </c>
      <c r="F7" s="3">
        <v>1</v>
      </c>
      <c r="G7" s="3">
        <v>0</v>
      </c>
      <c r="H7" s="3">
        <v>8</v>
      </c>
      <c r="I7" s="3">
        <v>2</v>
      </c>
      <c r="J7" s="3">
        <v>0</v>
      </c>
      <c r="K7" s="3">
        <v>6</v>
      </c>
      <c r="L7" s="3">
        <v>1</v>
      </c>
      <c r="M7" s="3">
        <v>21</v>
      </c>
      <c r="N7" s="3">
        <v>2</v>
      </c>
      <c r="O7" s="3">
        <v>0</v>
      </c>
      <c r="P7" s="3">
        <v>5</v>
      </c>
      <c r="Q7" s="3">
        <v>4</v>
      </c>
      <c r="R7" s="3">
        <v>4</v>
      </c>
      <c r="S7" s="3">
        <v>0</v>
      </c>
      <c r="U7" s="8" t="s">
        <v>186</v>
      </c>
      <c r="V7" s="3">
        <v>2</v>
      </c>
      <c r="W7" s="3">
        <v>2</v>
      </c>
      <c r="X7" s="3">
        <v>4</v>
      </c>
      <c r="Y7" s="3">
        <v>3</v>
      </c>
      <c r="Z7" s="3">
        <v>0</v>
      </c>
      <c r="AA7" s="3">
        <v>0</v>
      </c>
      <c r="AB7" s="3">
        <v>1</v>
      </c>
      <c r="AC7" s="3">
        <v>0</v>
      </c>
      <c r="AD7" s="3">
        <v>0</v>
      </c>
      <c r="AE7" s="3">
        <v>0</v>
      </c>
      <c r="AF7" s="3">
        <v>1</v>
      </c>
      <c r="AG7" s="3">
        <v>8</v>
      </c>
      <c r="AH7" s="3">
        <v>0</v>
      </c>
      <c r="AI7" s="3">
        <v>0</v>
      </c>
      <c r="AJ7" s="3">
        <v>0</v>
      </c>
      <c r="AK7" s="3">
        <v>2</v>
      </c>
      <c r="AL7" s="3">
        <v>0</v>
      </c>
      <c r="AM7" s="3">
        <v>0</v>
      </c>
      <c r="AO7" s="8" t="s">
        <v>186</v>
      </c>
      <c r="AP7" s="3">
        <v>0</v>
      </c>
      <c r="AQ7" s="3">
        <v>36</v>
      </c>
      <c r="AR7" s="3">
        <v>47</v>
      </c>
      <c r="AS7" s="3">
        <v>11</v>
      </c>
      <c r="AT7" s="3">
        <v>7</v>
      </c>
      <c r="AU7" s="3">
        <v>0</v>
      </c>
      <c r="AV7" s="3">
        <v>33</v>
      </c>
      <c r="AW7" s="3">
        <v>14</v>
      </c>
      <c r="AX7" s="3">
        <v>0</v>
      </c>
      <c r="AY7" s="3">
        <v>44</v>
      </c>
      <c r="AZ7" s="3">
        <v>8</v>
      </c>
      <c r="BA7" s="3">
        <v>135</v>
      </c>
      <c r="BB7" s="3">
        <v>5</v>
      </c>
      <c r="BC7" s="3">
        <v>0</v>
      </c>
      <c r="BD7" s="3">
        <v>38</v>
      </c>
      <c r="BE7" s="3">
        <v>31</v>
      </c>
      <c r="BF7" s="3">
        <v>25</v>
      </c>
      <c r="BG7" s="3">
        <v>0</v>
      </c>
      <c r="BI7" s="8" t="s">
        <v>186</v>
      </c>
      <c r="BJ7" s="3">
        <v>-5</v>
      </c>
      <c r="BK7" s="3">
        <v>-12</v>
      </c>
      <c r="BL7" s="3">
        <v>-27</v>
      </c>
      <c r="BM7" s="3">
        <v>-17</v>
      </c>
      <c r="BN7" s="3">
        <v>0</v>
      </c>
      <c r="BO7" s="3">
        <v>0</v>
      </c>
      <c r="BP7" s="3">
        <v>-5</v>
      </c>
      <c r="BQ7" s="3">
        <v>0</v>
      </c>
      <c r="BR7" s="3">
        <v>0</v>
      </c>
      <c r="BS7" s="3">
        <v>0</v>
      </c>
      <c r="BT7" s="3">
        <v>-2</v>
      </c>
      <c r="BU7" s="3">
        <v>-43</v>
      </c>
      <c r="BV7" s="3">
        <v>0</v>
      </c>
      <c r="BW7" s="3">
        <v>0</v>
      </c>
      <c r="BX7" s="3">
        <v>0</v>
      </c>
      <c r="BY7" s="3">
        <v>-13</v>
      </c>
      <c r="BZ7" s="3">
        <v>0</v>
      </c>
      <c r="CA7" s="3">
        <v>0</v>
      </c>
      <c r="CC7" s="8" t="s">
        <v>186</v>
      </c>
      <c r="CD7" s="10">
        <v>-1</v>
      </c>
      <c r="CE7" s="10">
        <v>0.75</v>
      </c>
      <c r="CF7" s="10">
        <v>0.55555555555555558</v>
      </c>
      <c r="CG7" s="10">
        <v>0.4</v>
      </c>
      <c r="CH7" s="10">
        <v>1</v>
      </c>
      <c r="CI7" s="10">
        <v>0</v>
      </c>
      <c r="CJ7" s="10">
        <v>0.88888888888888884</v>
      </c>
      <c r="CK7" s="10">
        <v>1</v>
      </c>
      <c r="CL7" s="10">
        <v>0</v>
      </c>
      <c r="CM7" s="10">
        <v>1</v>
      </c>
      <c r="CN7" s="10">
        <v>0.5</v>
      </c>
      <c r="CO7" s="10">
        <v>0.72413793103448276</v>
      </c>
      <c r="CP7" s="10">
        <v>1</v>
      </c>
      <c r="CQ7" s="10">
        <v>0</v>
      </c>
      <c r="CR7" s="10">
        <v>1</v>
      </c>
      <c r="CS7" s="10">
        <v>0.66666666666666663</v>
      </c>
      <c r="CT7" s="10">
        <v>1</v>
      </c>
      <c r="CU7" s="10">
        <v>0</v>
      </c>
      <c r="CV7" s="10"/>
      <c r="CW7" s="8" t="s">
        <v>186</v>
      </c>
      <c r="CX7" s="11">
        <v>-2.5</v>
      </c>
      <c r="CY7" s="11">
        <v>3</v>
      </c>
      <c r="CZ7" s="11">
        <v>2.2222222222222223</v>
      </c>
      <c r="DA7" s="11">
        <v>-1.2</v>
      </c>
      <c r="DB7" s="11">
        <v>7</v>
      </c>
      <c r="DC7" s="11">
        <v>0</v>
      </c>
      <c r="DD7" s="11">
        <v>3.1111111111111112</v>
      </c>
      <c r="DE7" s="11">
        <v>7</v>
      </c>
      <c r="DF7" s="11">
        <v>0</v>
      </c>
      <c r="DG7" s="11">
        <v>7.333333333333333</v>
      </c>
      <c r="DH7" s="11">
        <v>3</v>
      </c>
      <c r="DI7" s="11">
        <v>3.1724137931034484</v>
      </c>
      <c r="DJ7" s="11">
        <v>2.5</v>
      </c>
      <c r="DK7" s="11">
        <v>0</v>
      </c>
      <c r="DL7" s="11">
        <v>7.6</v>
      </c>
      <c r="DM7" s="11">
        <v>3</v>
      </c>
      <c r="DN7" s="11">
        <v>6.25</v>
      </c>
      <c r="DO7" s="11">
        <v>0</v>
      </c>
    </row>
    <row r="8" spans="1:119" ht="16.5" x14ac:dyDescent="0.15">
      <c r="A8" s="8" t="s">
        <v>187</v>
      </c>
      <c r="B8" s="3">
        <v>4</v>
      </c>
      <c r="C8" s="3">
        <v>1</v>
      </c>
      <c r="D8" s="3">
        <v>1</v>
      </c>
      <c r="E8" s="3">
        <v>0</v>
      </c>
      <c r="F8" s="3">
        <v>2</v>
      </c>
      <c r="G8" s="3">
        <v>8</v>
      </c>
      <c r="H8" s="3">
        <v>0</v>
      </c>
      <c r="I8" s="3">
        <v>6</v>
      </c>
      <c r="J8" s="3">
        <v>0</v>
      </c>
      <c r="K8" s="3">
        <v>5</v>
      </c>
      <c r="L8" s="3">
        <v>0</v>
      </c>
      <c r="M8" s="3">
        <v>3</v>
      </c>
      <c r="N8" s="3">
        <v>1</v>
      </c>
      <c r="O8" s="3">
        <v>0</v>
      </c>
      <c r="P8" s="3">
        <v>2</v>
      </c>
      <c r="Q8" s="3">
        <v>2</v>
      </c>
      <c r="R8" s="3">
        <v>2</v>
      </c>
      <c r="S8" s="3">
        <v>1</v>
      </c>
      <c r="U8" s="8" t="s">
        <v>187</v>
      </c>
      <c r="V8" s="3">
        <v>0</v>
      </c>
      <c r="W8" s="3">
        <v>1</v>
      </c>
      <c r="X8" s="3">
        <v>1</v>
      </c>
      <c r="Y8" s="3">
        <v>4</v>
      </c>
      <c r="Z8" s="3">
        <v>0</v>
      </c>
      <c r="AA8" s="3">
        <v>1</v>
      </c>
      <c r="AB8" s="3">
        <v>1</v>
      </c>
      <c r="AC8" s="3">
        <v>3</v>
      </c>
      <c r="AD8" s="3">
        <v>2</v>
      </c>
      <c r="AE8" s="3">
        <v>3</v>
      </c>
      <c r="AF8" s="3">
        <v>1</v>
      </c>
      <c r="AG8" s="3">
        <v>1</v>
      </c>
      <c r="AH8" s="3">
        <v>0</v>
      </c>
      <c r="AI8" s="3">
        <v>2</v>
      </c>
      <c r="AJ8" s="3">
        <v>1</v>
      </c>
      <c r="AK8" s="3">
        <v>4</v>
      </c>
      <c r="AL8" s="3">
        <v>4</v>
      </c>
      <c r="AM8" s="3">
        <v>0</v>
      </c>
      <c r="AO8" s="8" t="s">
        <v>187</v>
      </c>
      <c r="AP8" s="3">
        <v>37</v>
      </c>
      <c r="AQ8" s="3">
        <v>8</v>
      </c>
      <c r="AR8" s="3">
        <v>11</v>
      </c>
      <c r="AS8" s="3">
        <v>0</v>
      </c>
      <c r="AT8" s="3">
        <v>23</v>
      </c>
      <c r="AU8" s="3">
        <v>33</v>
      </c>
      <c r="AV8" s="3">
        <v>0</v>
      </c>
      <c r="AW8" s="3">
        <v>35</v>
      </c>
      <c r="AX8" s="3">
        <v>0</v>
      </c>
      <c r="AY8" s="3">
        <v>23</v>
      </c>
      <c r="AZ8" s="3">
        <v>0</v>
      </c>
      <c r="BA8" s="3">
        <v>7</v>
      </c>
      <c r="BB8" s="3">
        <v>6</v>
      </c>
      <c r="BC8" s="3">
        <v>0</v>
      </c>
      <c r="BD8" s="3">
        <v>8</v>
      </c>
      <c r="BE8" s="3">
        <v>10</v>
      </c>
      <c r="BF8" s="3">
        <v>7</v>
      </c>
      <c r="BG8" s="3">
        <v>8</v>
      </c>
      <c r="BI8" s="8" t="s">
        <v>187</v>
      </c>
      <c r="BJ8" s="3">
        <v>0</v>
      </c>
      <c r="BK8" s="3">
        <v>-2</v>
      </c>
      <c r="BL8" s="3">
        <v>-8</v>
      </c>
      <c r="BM8" s="3">
        <v>-19</v>
      </c>
      <c r="BN8" s="3">
        <v>0</v>
      </c>
      <c r="BO8" s="3">
        <v>-5</v>
      </c>
      <c r="BP8" s="3">
        <v>-3</v>
      </c>
      <c r="BQ8" s="3">
        <v>-24</v>
      </c>
      <c r="BR8" s="3">
        <v>-22</v>
      </c>
      <c r="BS8" s="3">
        <v>-9</v>
      </c>
      <c r="BT8" s="3">
        <v>-7</v>
      </c>
      <c r="BU8" s="3">
        <v>-3</v>
      </c>
      <c r="BV8" s="3">
        <v>0</v>
      </c>
      <c r="BW8" s="3">
        <v>-9</v>
      </c>
      <c r="BX8" s="3">
        <v>-3</v>
      </c>
      <c r="BY8" s="3">
        <v>-30</v>
      </c>
      <c r="BZ8" s="3">
        <v>-28</v>
      </c>
      <c r="CA8" s="3">
        <v>0</v>
      </c>
      <c r="CC8" s="8" t="s">
        <v>187</v>
      </c>
      <c r="CD8" s="10">
        <v>1</v>
      </c>
      <c r="CE8" s="10">
        <v>0.5</v>
      </c>
      <c r="CF8" s="10">
        <v>0.5</v>
      </c>
      <c r="CG8" s="10">
        <v>-1</v>
      </c>
      <c r="CH8" s="10">
        <v>1</v>
      </c>
      <c r="CI8" s="10">
        <v>0.88888888888888884</v>
      </c>
      <c r="CJ8" s="10">
        <v>-1</v>
      </c>
      <c r="CK8" s="10">
        <v>0.66666666666666663</v>
      </c>
      <c r="CL8" s="10">
        <v>-1</v>
      </c>
      <c r="CM8" s="10">
        <v>0.625</v>
      </c>
      <c r="CN8" s="10">
        <v>-1</v>
      </c>
      <c r="CO8" s="10">
        <v>0.75</v>
      </c>
      <c r="CP8" s="10">
        <v>1</v>
      </c>
      <c r="CQ8" s="10">
        <v>-1</v>
      </c>
      <c r="CR8" s="10">
        <v>0.66666666666666663</v>
      </c>
      <c r="CS8" s="10">
        <v>0.33333333333333331</v>
      </c>
      <c r="CT8" s="10">
        <v>0.33333333333333331</v>
      </c>
      <c r="CU8" s="10">
        <v>1</v>
      </c>
      <c r="CV8" s="10"/>
      <c r="CW8" s="8" t="s">
        <v>187</v>
      </c>
      <c r="CX8" s="11">
        <v>9.25</v>
      </c>
      <c r="CY8" s="11">
        <v>3</v>
      </c>
      <c r="CZ8" s="11">
        <v>1.5</v>
      </c>
      <c r="DA8" s="11">
        <v>-4.75</v>
      </c>
      <c r="DB8" s="11">
        <v>11.5</v>
      </c>
      <c r="DC8" s="11">
        <v>3.1111111111111112</v>
      </c>
      <c r="DD8" s="11">
        <v>-3</v>
      </c>
      <c r="DE8" s="11">
        <v>1.2222222222222223</v>
      </c>
      <c r="DF8" s="11">
        <v>-11</v>
      </c>
      <c r="DG8" s="11">
        <v>1.75</v>
      </c>
      <c r="DH8" s="11">
        <v>-7</v>
      </c>
      <c r="DI8" s="11">
        <v>1</v>
      </c>
      <c r="DJ8" s="11">
        <v>6</v>
      </c>
      <c r="DK8" s="11">
        <v>-4.5</v>
      </c>
      <c r="DL8" s="11">
        <v>1.6666666666666667</v>
      </c>
      <c r="DM8" s="11">
        <v>-3.3333333333333335</v>
      </c>
      <c r="DN8" s="11">
        <v>-3.5</v>
      </c>
      <c r="DO8" s="11">
        <v>8</v>
      </c>
    </row>
    <row r="9" spans="1:119" ht="16.5" x14ac:dyDescent="0.15">
      <c r="A9" s="8" t="s">
        <v>188</v>
      </c>
      <c r="B9" s="3">
        <v>5</v>
      </c>
      <c r="C9" s="3">
        <v>7</v>
      </c>
      <c r="D9" s="3">
        <v>0</v>
      </c>
      <c r="E9" s="3">
        <v>6</v>
      </c>
      <c r="F9" s="3">
        <v>3</v>
      </c>
      <c r="G9" s="3">
        <v>2</v>
      </c>
      <c r="H9" s="3">
        <v>6</v>
      </c>
      <c r="I9" s="3">
        <v>0</v>
      </c>
      <c r="J9" s="3">
        <v>1</v>
      </c>
      <c r="K9" s="3">
        <v>2</v>
      </c>
      <c r="L9" s="3">
        <v>5</v>
      </c>
      <c r="M9" s="3">
        <v>3</v>
      </c>
      <c r="N9" s="3">
        <v>3</v>
      </c>
      <c r="O9" s="3">
        <v>0</v>
      </c>
      <c r="P9" s="3">
        <v>1</v>
      </c>
      <c r="Q9" s="3">
        <v>2</v>
      </c>
      <c r="R9" s="3">
        <v>0</v>
      </c>
      <c r="S9" s="3">
        <v>0</v>
      </c>
      <c r="U9" s="8" t="s">
        <v>188</v>
      </c>
      <c r="V9" s="3">
        <v>3</v>
      </c>
      <c r="W9" s="3">
        <v>6</v>
      </c>
      <c r="X9" s="3">
        <v>5</v>
      </c>
      <c r="Y9" s="3">
        <v>6</v>
      </c>
      <c r="Z9" s="3">
        <v>3</v>
      </c>
      <c r="AA9" s="3">
        <v>0</v>
      </c>
      <c r="AB9" s="3">
        <v>3</v>
      </c>
      <c r="AC9" s="3">
        <v>0</v>
      </c>
      <c r="AD9" s="3">
        <v>3</v>
      </c>
      <c r="AE9" s="3">
        <v>0</v>
      </c>
      <c r="AF9" s="3">
        <v>7</v>
      </c>
      <c r="AG9" s="3">
        <v>3</v>
      </c>
      <c r="AH9" s="3">
        <v>1</v>
      </c>
      <c r="AI9" s="3">
        <v>0</v>
      </c>
      <c r="AJ9" s="3">
        <v>3</v>
      </c>
      <c r="AK9" s="3">
        <v>4</v>
      </c>
      <c r="AL9" s="3">
        <v>0</v>
      </c>
      <c r="AM9" s="3">
        <v>1</v>
      </c>
      <c r="AO9" s="8" t="s">
        <v>188</v>
      </c>
      <c r="AP9" s="3">
        <v>33</v>
      </c>
      <c r="AQ9" s="3">
        <v>46</v>
      </c>
      <c r="AR9" s="3">
        <v>0</v>
      </c>
      <c r="AS9" s="3">
        <v>34</v>
      </c>
      <c r="AT9" s="3">
        <v>25</v>
      </c>
      <c r="AU9" s="3">
        <v>14</v>
      </c>
      <c r="AV9" s="3">
        <v>35</v>
      </c>
      <c r="AW9" s="3">
        <v>0</v>
      </c>
      <c r="AX9" s="3">
        <v>10</v>
      </c>
      <c r="AY9" s="3">
        <v>7</v>
      </c>
      <c r="AZ9" s="3">
        <v>12</v>
      </c>
      <c r="BA9" s="3">
        <v>14</v>
      </c>
      <c r="BB9" s="3">
        <v>12</v>
      </c>
      <c r="BC9" s="3">
        <v>0</v>
      </c>
      <c r="BD9" s="3">
        <v>4</v>
      </c>
      <c r="BE9" s="3">
        <v>14</v>
      </c>
      <c r="BF9" s="3">
        <v>0</v>
      </c>
      <c r="BG9" s="3">
        <v>0</v>
      </c>
      <c r="BI9" s="8" t="s">
        <v>188</v>
      </c>
      <c r="BJ9" s="3">
        <v>-25</v>
      </c>
      <c r="BK9" s="3">
        <v>-24</v>
      </c>
      <c r="BL9" s="3">
        <v>-33</v>
      </c>
      <c r="BM9" s="3">
        <v>-38</v>
      </c>
      <c r="BN9" s="3">
        <v>-15</v>
      </c>
      <c r="BO9" s="3">
        <v>0</v>
      </c>
      <c r="BP9" s="3">
        <v>-24</v>
      </c>
      <c r="BQ9" s="3">
        <v>0</v>
      </c>
      <c r="BR9" s="3">
        <v>-17</v>
      </c>
      <c r="BS9" s="3">
        <v>0</v>
      </c>
      <c r="BT9" s="3">
        <v>-48</v>
      </c>
      <c r="BU9" s="3">
        <v>-14</v>
      </c>
      <c r="BV9" s="3">
        <v>-3</v>
      </c>
      <c r="BW9" s="3">
        <v>0</v>
      </c>
      <c r="BX9" s="3">
        <v>-19</v>
      </c>
      <c r="BY9" s="3">
        <v>-24</v>
      </c>
      <c r="BZ9" s="3">
        <v>0</v>
      </c>
      <c r="CA9" s="3">
        <v>-3</v>
      </c>
      <c r="CC9" s="8" t="s">
        <v>188</v>
      </c>
      <c r="CD9" s="10">
        <v>0.625</v>
      </c>
      <c r="CE9" s="10">
        <v>0.53846153846153844</v>
      </c>
      <c r="CF9" s="10">
        <v>-1</v>
      </c>
      <c r="CG9" s="10">
        <v>0.5</v>
      </c>
      <c r="CH9" s="10">
        <v>0.5</v>
      </c>
      <c r="CI9" s="10">
        <v>1</v>
      </c>
      <c r="CJ9" s="10">
        <v>0.66666666666666663</v>
      </c>
      <c r="CK9" s="10">
        <v>0</v>
      </c>
      <c r="CL9" s="10">
        <v>0.25</v>
      </c>
      <c r="CM9" s="10">
        <v>1</v>
      </c>
      <c r="CN9" s="10">
        <v>0.41666666666666669</v>
      </c>
      <c r="CO9" s="10">
        <v>0.5</v>
      </c>
      <c r="CP9" s="10">
        <v>0.75</v>
      </c>
      <c r="CQ9" s="10">
        <v>0</v>
      </c>
      <c r="CR9" s="10">
        <v>0.25</v>
      </c>
      <c r="CS9" s="10">
        <v>0.33333333333333331</v>
      </c>
      <c r="CT9" s="10">
        <v>0</v>
      </c>
      <c r="CU9" s="10">
        <v>-1</v>
      </c>
      <c r="CV9" s="10"/>
      <c r="CW9" s="8" t="s">
        <v>188</v>
      </c>
      <c r="CX9" s="11">
        <v>1</v>
      </c>
      <c r="CY9" s="11">
        <v>1.6923076923076923</v>
      </c>
      <c r="CZ9" s="11">
        <v>-6.6</v>
      </c>
      <c r="DA9" s="11">
        <v>-0.33333333333333331</v>
      </c>
      <c r="DB9" s="11">
        <v>1.6666666666666667</v>
      </c>
      <c r="DC9" s="11">
        <v>7</v>
      </c>
      <c r="DD9" s="11">
        <v>1.2222222222222223</v>
      </c>
      <c r="DE9" s="11">
        <v>0</v>
      </c>
      <c r="DF9" s="11">
        <v>-1.75</v>
      </c>
      <c r="DG9" s="11">
        <v>3.5</v>
      </c>
      <c r="DH9" s="11">
        <v>-3</v>
      </c>
      <c r="DI9" s="11">
        <v>0</v>
      </c>
      <c r="DJ9" s="11">
        <v>2.25</v>
      </c>
      <c r="DK9" s="11">
        <v>0</v>
      </c>
      <c r="DL9" s="11">
        <v>-3.75</v>
      </c>
      <c r="DM9" s="11">
        <v>-1.6666666666666667</v>
      </c>
      <c r="DN9" s="11">
        <v>0</v>
      </c>
      <c r="DO9" s="11">
        <v>-3</v>
      </c>
    </row>
    <row r="10" spans="1:119" ht="16.5" x14ac:dyDescent="0.15">
      <c r="A10" s="8" t="s">
        <v>189</v>
      </c>
      <c r="B10" s="3">
        <v>0</v>
      </c>
      <c r="C10" s="3">
        <v>1</v>
      </c>
      <c r="D10" s="3">
        <v>0</v>
      </c>
      <c r="E10" s="3">
        <v>1</v>
      </c>
      <c r="F10" s="3">
        <v>1</v>
      </c>
      <c r="G10" s="3">
        <v>0</v>
      </c>
      <c r="H10" s="3">
        <v>0</v>
      </c>
      <c r="I10" s="3">
        <v>1</v>
      </c>
      <c r="J10" s="3">
        <v>0</v>
      </c>
      <c r="K10" s="3">
        <v>0</v>
      </c>
      <c r="L10" s="3">
        <v>0</v>
      </c>
      <c r="M10" s="3">
        <v>0</v>
      </c>
      <c r="N10" s="3">
        <v>1</v>
      </c>
      <c r="O10" s="3">
        <v>0</v>
      </c>
      <c r="P10" s="3">
        <v>1</v>
      </c>
      <c r="Q10" s="3">
        <v>0</v>
      </c>
      <c r="R10" s="3">
        <v>0</v>
      </c>
      <c r="S10" s="3">
        <v>0</v>
      </c>
      <c r="U10" s="8" t="s">
        <v>189</v>
      </c>
      <c r="V10" s="3">
        <v>0</v>
      </c>
      <c r="W10" s="3">
        <v>2</v>
      </c>
      <c r="X10" s="3">
        <v>0</v>
      </c>
      <c r="Y10" s="3">
        <v>6</v>
      </c>
      <c r="Z10" s="3">
        <v>0</v>
      </c>
      <c r="AA10" s="3">
        <v>0</v>
      </c>
      <c r="AB10" s="3">
        <v>2</v>
      </c>
      <c r="AC10" s="3">
        <v>3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2</v>
      </c>
      <c r="AJ10" s="3">
        <v>0</v>
      </c>
      <c r="AK10" s="3">
        <v>0</v>
      </c>
      <c r="AL10" s="3">
        <v>0</v>
      </c>
      <c r="AM10" s="3">
        <v>0</v>
      </c>
      <c r="AO10" s="8" t="s">
        <v>189</v>
      </c>
      <c r="AP10" s="3">
        <v>0</v>
      </c>
      <c r="AQ10" s="3">
        <v>4</v>
      </c>
      <c r="AR10" s="3">
        <v>0</v>
      </c>
      <c r="AS10" s="3">
        <v>2</v>
      </c>
      <c r="AT10" s="3">
        <v>2</v>
      </c>
      <c r="AU10" s="3">
        <v>0</v>
      </c>
      <c r="AV10" s="3">
        <v>0</v>
      </c>
      <c r="AW10" s="3">
        <v>10</v>
      </c>
      <c r="AX10" s="3">
        <v>0</v>
      </c>
      <c r="AY10" s="3">
        <v>0</v>
      </c>
      <c r="AZ10" s="3">
        <v>0</v>
      </c>
      <c r="BA10" s="3">
        <v>0</v>
      </c>
      <c r="BB10" s="3">
        <v>4</v>
      </c>
      <c r="BC10" s="3">
        <v>0</v>
      </c>
      <c r="BD10" s="3">
        <v>8</v>
      </c>
      <c r="BE10" s="3">
        <v>0</v>
      </c>
      <c r="BF10" s="3">
        <v>0</v>
      </c>
      <c r="BG10" s="3">
        <v>0</v>
      </c>
      <c r="BI10" s="8" t="s">
        <v>189</v>
      </c>
      <c r="BJ10" s="3">
        <v>0</v>
      </c>
      <c r="BK10" s="3">
        <v>-12</v>
      </c>
      <c r="BL10" s="3">
        <v>0</v>
      </c>
      <c r="BM10" s="3">
        <v>-34</v>
      </c>
      <c r="BN10" s="3">
        <v>0</v>
      </c>
      <c r="BO10" s="3">
        <v>0</v>
      </c>
      <c r="BP10" s="3">
        <v>-22</v>
      </c>
      <c r="BQ10" s="3">
        <v>-17</v>
      </c>
      <c r="BR10" s="3">
        <v>0</v>
      </c>
      <c r="BS10" s="3">
        <v>0</v>
      </c>
      <c r="BT10" s="3">
        <v>0</v>
      </c>
      <c r="BU10" s="3">
        <v>0</v>
      </c>
      <c r="BV10" s="3">
        <v>0</v>
      </c>
      <c r="BW10" s="3">
        <v>-8</v>
      </c>
      <c r="BX10" s="3">
        <v>0</v>
      </c>
      <c r="BY10" s="3">
        <v>0</v>
      </c>
      <c r="BZ10" s="3">
        <v>0</v>
      </c>
      <c r="CA10" s="3">
        <v>0</v>
      </c>
      <c r="CC10" s="8" t="s">
        <v>189</v>
      </c>
      <c r="CD10" s="10">
        <v>0</v>
      </c>
      <c r="CE10" s="10">
        <v>0.33333333333333331</v>
      </c>
      <c r="CF10" s="10">
        <v>0</v>
      </c>
      <c r="CG10" s="10">
        <v>0.14285714285714285</v>
      </c>
      <c r="CH10" s="10">
        <v>1</v>
      </c>
      <c r="CI10" s="10">
        <v>0</v>
      </c>
      <c r="CJ10" s="10">
        <v>-1</v>
      </c>
      <c r="CK10" s="10">
        <v>0.25</v>
      </c>
      <c r="CL10" s="10">
        <v>0</v>
      </c>
      <c r="CM10" s="10">
        <v>0</v>
      </c>
      <c r="CN10" s="10">
        <v>0</v>
      </c>
      <c r="CO10" s="10">
        <v>0</v>
      </c>
      <c r="CP10" s="10">
        <v>1</v>
      </c>
      <c r="CQ10" s="10">
        <v>-1</v>
      </c>
      <c r="CR10" s="10">
        <v>1</v>
      </c>
      <c r="CS10" s="10">
        <v>0</v>
      </c>
      <c r="CT10" s="10">
        <v>0</v>
      </c>
      <c r="CU10" s="10">
        <v>0</v>
      </c>
      <c r="CV10" s="10"/>
      <c r="CW10" s="8" t="s">
        <v>189</v>
      </c>
      <c r="CX10" s="11">
        <v>0</v>
      </c>
      <c r="CY10" s="11">
        <v>-2.6666666666666665</v>
      </c>
      <c r="CZ10" s="11">
        <v>0</v>
      </c>
      <c r="DA10" s="11">
        <v>-4.5714285714285712</v>
      </c>
      <c r="DB10" s="11">
        <v>2</v>
      </c>
      <c r="DC10" s="11">
        <v>0</v>
      </c>
      <c r="DD10" s="11">
        <v>-11</v>
      </c>
      <c r="DE10" s="11">
        <v>-1.75</v>
      </c>
      <c r="DF10" s="11">
        <v>0</v>
      </c>
      <c r="DG10" s="11">
        <v>0</v>
      </c>
      <c r="DH10" s="11">
        <v>0</v>
      </c>
      <c r="DI10" s="11">
        <v>0</v>
      </c>
      <c r="DJ10" s="11">
        <v>4</v>
      </c>
      <c r="DK10" s="11">
        <v>-4</v>
      </c>
      <c r="DL10" s="11">
        <v>8</v>
      </c>
      <c r="DM10" s="11">
        <v>0</v>
      </c>
      <c r="DN10" s="11">
        <v>0</v>
      </c>
      <c r="DO10" s="11">
        <v>0</v>
      </c>
    </row>
    <row r="11" spans="1:119" ht="16.5" x14ac:dyDescent="0.15">
      <c r="A11" s="8" t="s">
        <v>190</v>
      </c>
      <c r="B11" s="3">
        <v>2</v>
      </c>
      <c r="C11" s="3">
        <v>2</v>
      </c>
      <c r="D11" s="3">
        <v>0</v>
      </c>
      <c r="E11" s="3">
        <v>1</v>
      </c>
      <c r="F11" s="3">
        <v>0</v>
      </c>
      <c r="G11" s="3">
        <v>6</v>
      </c>
      <c r="H11" s="3">
        <v>5</v>
      </c>
      <c r="I11" s="3">
        <v>2</v>
      </c>
      <c r="J11" s="3">
        <v>0</v>
      </c>
      <c r="K11" s="3">
        <v>0</v>
      </c>
      <c r="L11" s="3">
        <v>1</v>
      </c>
      <c r="M11" s="3">
        <v>3</v>
      </c>
      <c r="N11" s="3">
        <v>1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U11" s="8" t="s">
        <v>190</v>
      </c>
      <c r="V11" s="3">
        <v>3</v>
      </c>
      <c r="W11" s="3">
        <v>0</v>
      </c>
      <c r="X11" s="3">
        <v>2</v>
      </c>
      <c r="Y11" s="3">
        <v>2</v>
      </c>
      <c r="Z11" s="3">
        <v>0</v>
      </c>
      <c r="AA11" s="3">
        <v>0</v>
      </c>
      <c r="AB11" s="3">
        <v>3</v>
      </c>
      <c r="AC11" s="3">
        <v>0</v>
      </c>
      <c r="AD11" s="3">
        <v>0</v>
      </c>
      <c r="AE11" s="3">
        <v>0</v>
      </c>
      <c r="AF11" s="3">
        <v>4</v>
      </c>
      <c r="AG11" s="3">
        <v>1</v>
      </c>
      <c r="AH11" s="3">
        <v>0</v>
      </c>
      <c r="AI11" s="3">
        <v>0</v>
      </c>
      <c r="AJ11" s="3">
        <v>2</v>
      </c>
      <c r="AK11" s="3">
        <v>0</v>
      </c>
      <c r="AL11" s="3">
        <v>3</v>
      </c>
      <c r="AM11" s="3">
        <v>0</v>
      </c>
      <c r="AO11" s="8" t="s">
        <v>190</v>
      </c>
      <c r="AP11" s="3">
        <v>7</v>
      </c>
      <c r="AQ11" s="3">
        <v>9</v>
      </c>
      <c r="AR11" s="3">
        <v>0</v>
      </c>
      <c r="AS11" s="3">
        <v>6</v>
      </c>
      <c r="AT11" s="3">
        <v>0</v>
      </c>
      <c r="AU11" s="3">
        <v>44</v>
      </c>
      <c r="AV11" s="3">
        <v>23</v>
      </c>
      <c r="AW11" s="3">
        <v>7</v>
      </c>
      <c r="AX11" s="3">
        <v>0</v>
      </c>
      <c r="AY11" s="3">
        <v>0</v>
      </c>
      <c r="AZ11" s="3">
        <v>9</v>
      </c>
      <c r="BA11" s="3">
        <v>27</v>
      </c>
      <c r="BB11" s="3">
        <v>3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I11" s="8" t="s">
        <v>190</v>
      </c>
      <c r="BJ11" s="3">
        <v>-15</v>
      </c>
      <c r="BK11" s="3">
        <v>0</v>
      </c>
      <c r="BL11" s="3">
        <v>-17</v>
      </c>
      <c r="BM11" s="3">
        <v>-14</v>
      </c>
      <c r="BN11" s="3">
        <v>0</v>
      </c>
      <c r="BO11" s="3">
        <v>0</v>
      </c>
      <c r="BP11" s="3">
        <v>-9</v>
      </c>
      <c r="BQ11" s="3">
        <v>0</v>
      </c>
      <c r="BR11" s="3">
        <v>0</v>
      </c>
      <c r="BS11" s="3">
        <v>0</v>
      </c>
      <c r="BT11" s="3">
        <v>-39</v>
      </c>
      <c r="BU11" s="3">
        <v>-7</v>
      </c>
      <c r="BV11" s="3">
        <v>0</v>
      </c>
      <c r="BW11" s="3">
        <v>0</v>
      </c>
      <c r="BX11" s="3">
        <v>-21</v>
      </c>
      <c r="BY11" s="3">
        <v>0</v>
      </c>
      <c r="BZ11" s="3">
        <v>-24</v>
      </c>
      <c r="CA11" s="3">
        <v>0</v>
      </c>
      <c r="CC11" s="8" t="s">
        <v>190</v>
      </c>
      <c r="CD11" s="10">
        <v>0.4</v>
      </c>
      <c r="CE11" s="10">
        <v>1</v>
      </c>
      <c r="CF11" s="10">
        <v>-1</v>
      </c>
      <c r="CG11" s="10">
        <v>0.33333333333333331</v>
      </c>
      <c r="CH11" s="10">
        <v>0</v>
      </c>
      <c r="CI11" s="10">
        <v>1</v>
      </c>
      <c r="CJ11" s="10">
        <v>0.625</v>
      </c>
      <c r="CK11" s="10">
        <v>1</v>
      </c>
      <c r="CL11" s="10">
        <v>0</v>
      </c>
      <c r="CM11" s="10">
        <v>0</v>
      </c>
      <c r="CN11" s="10">
        <v>0.2</v>
      </c>
      <c r="CO11" s="10">
        <v>0.75</v>
      </c>
      <c r="CP11" s="10">
        <v>1</v>
      </c>
      <c r="CQ11" s="10">
        <v>0</v>
      </c>
      <c r="CR11" s="10">
        <v>-1</v>
      </c>
      <c r="CS11" s="10">
        <v>0</v>
      </c>
      <c r="CT11" s="10">
        <v>-1</v>
      </c>
      <c r="CU11" s="10">
        <v>0</v>
      </c>
      <c r="CV11" s="10"/>
      <c r="CW11" s="8" t="s">
        <v>190</v>
      </c>
      <c r="CX11" s="11">
        <v>-1.6</v>
      </c>
      <c r="CY11" s="11">
        <v>4.5</v>
      </c>
      <c r="CZ11" s="11">
        <v>-8.5</v>
      </c>
      <c r="DA11" s="11">
        <v>-2.6666666666666665</v>
      </c>
      <c r="DB11" s="11">
        <v>0</v>
      </c>
      <c r="DC11" s="11">
        <v>7.333333333333333</v>
      </c>
      <c r="DD11" s="11">
        <v>1.75</v>
      </c>
      <c r="DE11" s="11">
        <v>3.5</v>
      </c>
      <c r="DF11" s="11">
        <v>0</v>
      </c>
      <c r="DG11" s="11">
        <v>0</v>
      </c>
      <c r="DH11" s="11">
        <v>-6</v>
      </c>
      <c r="DI11" s="11">
        <v>5</v>
      </c>
      <c r="DJ11" s="11">
        <v>3</v>
      </c>
      <c r="DK11" s="11">
        <v>0</v>
      </c>
      <c r="DL11" s="11">
        <v>-10.5</v>
      </c>
      <c r="DM11" s="11">
        <v>0</v>
      </c>
      <c r="DN11" s="11">
        <v>-8</v>
      </c>
      <c r="DO11" s="11">
        <v>0</v>
      </c>
    </row>
    <row r="12" spans="1:119" ht="16.5" x14ac:dyDescent="0.15">
      <c r="A12" s="8" t="s">
        <v>191</v>
      </c>
      <c r="B12" s="3">
        <v>0</v>
      </c>
      <c r="C12" s="3">
        <v>5</v>
      </c>
      <c r="D12" s="3">
        <v>0</v>
      </c>
      <c r="E12" s="3">
        <v>0</v>
      </c>
      <c r="F12" s="3">
        <v>2</v>
      </c>
      <c r="G12" s="3">
        <v>1</v>
      </c>
      <c r="H12" s="3">
        <v>0</v>
      </c>
      <c r="I12" s="3">
        <v>5</v>
      </c>
      <c r="J12" s="3">
        <v>0</v>
      </c>
      <c r="K12" s="3">
        <v>1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U12" s="8" t="s">
        <v>191</v>
      </c>
      <c r="V12" s="3">
        <v>2</v>
      </c>
      <c r="W12" s="3">
        <v>5</v>
      </c>
      <c r="X12" s="3">
        <v>3</v>
      </c>
      <c r="Y12" s="3">
        <v>1</v>
      </c>
      <c r="Z12" s="3">
        <v>7</v>
      </c>
      <c r="AA12" s="3">
        <v>1</v>
      </c>
      <c r="AB12" s="3">
        <v>1</v>
      </c>
      <c r="AC12" s="3">
        <v>7</v>
      </c>
      <c r="AD12" s="3">
        <v>0</v>
      </c>
      <c r="AE12" s="3">
        <v>4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1</v>
      </c>
      <c r="AL12" s="3">
        <v>0</v>
      </c>
      <c r="AM12" s="3">
        <v>0</v>
      </c>
      <c r="AO12" s="8" t="s">
        <v>191</v>
      </c>
      <c r="AP12" s="3">
        <v>0</v>
      </c>
      <c r="AQ12" s="3">
        <v>24</v>
      </c>
      <c r="AR12" s="3">
        <v>0</v>
      </c>
      <c r="AS12" s="3">
        <v>0</v>
      </c>
      <c r="AT12" s="3">
        <v>9</v>
      </c>
      <c r="AU12" s="3">
        <v>8</v>
      </c>
      <c r="AV12" s="3">
        <v>0</v>
      </c>
      <c r="AW12" s="3">
        <v>12</v>
      </c>
      <c r="AX12" s="3">
        <v>0</v>
      </c>
      <c r="AY12" s="3">
        <v>9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0</v>
      </c>
      <c r="BI12" s="8" t="s">
        <v>191</v>
      </c>
      <c r="BJ12" s="3">
        <v>-8</v>
      </c>
      <c r="BK12" s="3">
        <v>-21</v>
      </c>
      <c r="BL12" s="3">
        <v>-28</v>
      </c>
      <c r="BM12" s="3">
        <v>-14</v>
      </c>
      <c r="BN12" s="3">
        <v>-36</v>
      </c>
      <c r="BO12" s="3">
        <v>-2</v>
      </c>
      <c r="BP12" s="3">
        <v>-7</v>
      </c>
      <c r="BQ12" s="3">
        <v>-48</v>
      </c>
      <c r="BR12" s="3">
        <v>0</v>
      </c>
      <c r="BS12" s="3">
        <v>-39</v>
      </c>
      <c r="BT12" s="3">
        <v>0</v>
      </c>
      <c r="BU12" s="3">
        <v>0</v>
      </c>
      <c r="BV12" s="3">
        <v>0</v>
      </c>
      <c r="BW12" s="3">
        <v>0</v>
      </c>
      <c r="BX12" s="3">
        <v>0</v>
      </c>
      <c r="BY12" s="3">
        <v>-9</v>
      </c>
      <c r="BZ12" s="3">
        <v>0</v>
      </c>
      <c r="CA12" s="3">
        <v>0</v>
      </c>
      <c r="CC12" s="8" t="s">
        <v>191</v>
      </c>
      <c r="CD12" s="10">
        <v>-1</v>
      </c>
      <c r="CE12" s="10">
        <v>0.5</v>
      </c>
      <c r="CF12" s="10">
        <v>-1</v>
      </c>
      <c r="CG12" s="10">
        <v>-1</v>
      </c>
      <c r="CH12" s="10">
        <v>0.22222222222222221</v>
      </c>
      <c r="CI12" s="10">
        <v>0.5</v>
      </c>
      <c r="CJ12" s="10">
        <v>-1</v>
      </c>
      <c r="CK12" s="10">
        <v>0.41666666666666669</v>
      </c>
      <c r="CL12" s="10">
        <v>0</v>
      </c>
      <c r="CM12" s="10">
        <v>0.2</v>
      </c>
      <c r="CN12" s="10">
        <v>0</v>
      </c>
      <c r="CO12" s="10">
        <v>0</v>
      </c>
      <c r="CP12" s="10">
        <v>0</v>
      </c>
      <c r="CQ12" s="10">
        <v>0</v>
      </c>
      <c r="CR12" s="10">
        <v>0</v>
      </c>
      <c r="CS12" s="10">
        <v>-1</v>
      </c>
      <c r="CT12" s="10">
        <v>0</v>
      </c>
      <c r="CU12" s="10">
        <v>0</v>
      </c>
      <c r="CV12" s="10"/>
      <c r="CW12" s="8" t="s">
        <v>191</v>
      </c>
      <c r="CX12" s="11">
        <v>-4</v>
      </c>
      <c r="CY12" s="11">
        <v>0.3</v>
      </c>
      <c r="CZ12" s="11">
        <v>-9.3333333333333339</v>
      </c>
      <c r="DA12" s="11">
        <v>-14</v>
      </c>
      <c r="DB12" s="11">
        <v>-3</v>
      </c>
      <c r="DC12" s="11">
        <v>3</v>
      </c>
      <c r="DD12" s="11">
        <v>-7</v>
      </c>
      <c r="DE12" s="11">
        <v>-3</v>
      </c>
      <c r="DF12" s="11">
        <v>0</v>
      </c>
      <c r="DG12" s="11">
        <v>-6</v>
      </c>
      <c r="DH12" s="11">
        <v>0</v>
      </c>
      <c r="DI12" s="11">
        <v>0</v>
      </c>
      <c r="DJ12" s="11">
        <v>0</v>
      </c>
      <c r="DK12" s="11">
        <v>0</v>
      </c>
      <c r="DL12" s="11">
        <v>0</v>
      </c>
      <c r="DM12" s="11">
        <v>-9</v>
      </c>
      <c r="DN12" s="11">
        <v>0</v>
      </c>
      <c r="DO12" s="11">
        <v>0</v>
      </c>
    </row>
    <row r="13" spans="1:119" ht="16.5" x14ac:dyDescent="0.15">
      <c r="A13" s="8" t="s">
        <v>192</v>
      </c>
      <c r="B13" s="3">
        <v>3</v>
      </c>
      <c r="C13" s="3">
        <v>0</v>
      </c>
      <c r="D13" s="3">
        <v>1</v>
      </c>
      <c r="E13" s="3">
        <v>0</v>
      </c>
      <c r="F13" s="3">
        <v>2</v>
      </c>
      <c r="G13" s="3">
        <v>21</v>
      </c>
      <c r="H13" s="3">
        <v>3</v>
      </c>
      <c r="I13" s="3">
        <v>3</v>
      </c>
      <c r="J13" s="3">
        <v>0</v>
      </c>
      <c r="K13" s="3">
        <v>3</v>
      </c>
      <c r="L13" s="3">
        <v>0</v>
      </c>
      <c r="M13" s="3">
        <v>0</v>
      </c>
      <c r="N13" s="3">
        <v>1</v>
      </c>
      <c r="O13" s="3">
        <v>0</v>
      </c>
      <c r="P13" s="3">
        <v>1</v>
      </c>
      <c r="Q13" s="3">
        <v>0</v>
      </c>
      <c r="R13" s="3">
        <v>0</v>
      </c>
      <c r="S13" s="3">
        <v>0</v>
      </c>
      <c r="U13" s="8" t="s">
        <v>192</v>
      </c>
      <c r="V13" s="3">
        <v>0</v>
      </c>
      <c r="W13" s="3">
        <v>6</v>
      </c>
      <c r="X13" s="3">
        <v>2</v>
      </c>
      <c r="Y13" s="3">
        <v>0</v>
      </c>
      <c r="Z13" s="3">
        <v>5</v>
      </c>
      <c r="AA13" s="3">
        <v>8</v>
      </c>
      <c r="AB13" s="3">
        <v>1</v>
      </c>
      <c r="AC13" s="3">
        <v>3</v>
      </c>
      <c r="AD13" s="3">
        <v>0</v>
      </c>
      <c r="AE13" s="3">
        <v>1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1</v>
      </c>
      <c r="AL13" s="3">
        <v>0</v>
      </c>
      <c r="AM13" s="3">
        <v>0</v>
      </c>
      <c r="AO13" s="8" t="s">
        <v>192</v>
      </c>
      <c r="AP13" s="3">
        <v>15</v>
      </c>
      <c r="AQ13" s="3">
        <v>0</v>
      </c>
      <c r="AR13" s="3">
        <v>2</v>
      </c>
      <c r="AS13" s="3">
        <v>0</v>
      </c>
      <c r="AT13" s="3">
        <v>14</v>
      </c>
      <c r="AU13" s="3">
        <v>135</v>
      </c>
      <c r="AV13" s="3">
        <v>7</v>
      </c>
      <c r="AW13" s="3">
        <v>14</v>
      </c>
      <c r="AX13" s="3">
        <v>0</v>
      </c>
      <c r="AY13" s="3">
        <v>27</v>
      </c>
      <c r="AZ13" s="3">
        <v>0</v>
      </c>
      <c r="BA13" s="3">
        <v>0</v>
      </c>
      <c r="BB13" s="3">
        <v>2</v>
      </c>
      <c r="BC13" s="3">
        <v>0</v>
      </c>
      <c r="BD13" s="3">
        <v>4</v>
      </c>
      <c r="BE13" s="3">
        <v>0</v>
      </c>
      <c r="BF13" s="3">
        <v>0</v>
      </c>
      <c r="BG13" s="3">
        <v>0</v>
      </c>
      <c r="BI13" s="8" t="s">
        <v>192</v>
      </c>
      <c r="BJ13" s="3">
        <v>0</v>
      </c>
      <c r="BK13" s="3">
        <v>-44</v>
      </c>
      <c r="BL13" s="3">
        <v>-15</v>
      </c>
      <c r="BM13" s="3">
        <v>0</v>
      </c>
      <c r="BN13" s="3">
        <v>-23</v>
      </c>
      <c r="BO13" s="3">
        <v>-43</v>
      </c>
      <c r="BP13" s="3">
        <v>-3</v>
      </c>
      <c r="BQ13" s="3">
        <v>-14</v>
      </c>
      <c r="BR13" s="3">
        <v>0</v>
      </c>
      <c r="BS13" s="3">
        <v>-7</v>
      </c>
      <c r="BT13" s="3">
        <v>0</v>
      </c>
      <c r="BU13" s="3">
        <v>0</v>
      </c>
      <c r="BV13" s="3">
        <v>0</v>
      </c>
      <c r="BW13" s="3">
        <v>0</v>
      </c>
      <c r="BX13" s="3">
        <v>0</v>
      </c>
      <c r="BY13" s="3">
        <v>-9</v>
      </c>
      <c r="BZ13" s="3">
        <v>0</v>
      </c>
      <c r="CA13" s="3">
        <v>0</v>
      </c>
      <c r="CC13" s="8" t="s">
        <v>192</v>
      </c>
      <c r="CD13" s="10">
        <v>1</v>
      </c>
      <c r="CE13" s="10">
        <v>-1</v>
      </c>
      <c r="CF13" s="10">
        <v>0.33333333333333331</v>
      </c>
      <c r="CG13" s="10">
        <v>0</v>
      </c>
      <c r="CH13" s="10">
        <v>0.2857142857142857</v>
      </c>
      <c r="CI13" s="10">
        <v>0.72413793103448276</v>
      </c>
      <c r="CJ13" s="10">
        <v>0.75</v>
      </c>
      <c r="CK13" s="10">
        <v>0.5</v>
      </c>
      <c r="CL13" s="10">
        <v>0</v>
      </c>
      <c r="CM13" s="10">
        <v>0.75</v>
      </c>
      <c r="CN13" s="10">
        <v>0</v>
      </c>
      <c r="CO13" s="10">
        <v>0</v>
      </c>
      <c r="CP13" s="10">
        <v>1</v>
      </c>
      <c r="CQ13" s="10">
        <v>0</v>
      </c>
      <c r="CR13" s="10">
        <v>1</v>
      </c>
      <c r="CS13" s="10">
        <v>-1</v>
      </c>
      <c r="CT13" s="10">
        <v>0</v>
      </c>
      <c r="CU13" s="10">
        <v>0</v>
      </c>
      <c r="CV13" s="10"/>
      <c r="CW13" s="8" t="s">
        <v>192</v>
      </c>
      <c r="CX13" s="11">
        <v>5</v>
      </c>
      <c r="CY13" s="11">
        <v>-7.333333333333333</v>
      </c>
      <c r="CZ13" s="11">
        <v>-4.333333333333333</v>
      </c>
      <c r="DA13" s="11">
        <v>0</v>
      </c>
      <c r="DB13" s="11">
        <v>-1.2857142857142858</v>
      </c>
      <c r="DC13" s="11">
        <v>3.1724137931034484</v>
      </c>
      <c r="DD13" s="11">
        <v>1</v>
      </c>
      <c r="DE13" s="11">
        <v>0</v>
      </c>
      <c r="DF13" s="11">
        <v>0</v>
      </c>
      <c r="DG13" s="11">
        <v>5</v>
      </c>
      <c r="DH13" s="11">
        <v>0</v>
      </c>
      <c r="DI13" s="11">
        <v>0</v>
      </c>
      <c r="DJ13" s="11">
        <v>2</v>
      </c>
      <c r="DK13" s="11">
        <v>0</v>
      </c>
      <c r="DL13" s="11">
        <v>4</v>
      </c>
      <c r="DM13" s="11">
        <v>-9</v>
      </c>
      <c r="DN13" s="11">
        <v>0</v>
      </c>
      <c r="DO13" s="11">
        <v>0</v>
      </c>
    </row>
    <row r="14" spans="1:119" ht="16.5" x14ac:dyDescent="0.15">
      <c r="A14" s="8" t="s">
        <v>193</v>
      </c>
      <c r="B14" s="3">
        <v>0</v>
      </c>
      <c r="C14" s="3">
        <v>0</v>
      </c>
      <c r="D14" s="3">
        <v>0</v>
      </c>
      <c r="E14" s="3">
        <v>2</v>
      </c>
      <c r="F14" s="3">
        <v>0</v>
      </c>
      <c r="G14" s="3">
        <v>2</v>
      </c>
      <c r="H14" s="3">
        <v>1</v>
      </c>
      <c r="I14" s="3">
        <v>3</v>
      </c>
      <c r="J14" s="3">
        <v>1</v>
      </c>
      <c r="K14" s="3">
        <v>1</v>
      </c>
      <c r="L14" s="3">
        <v>0</v>
      </c>
      <c r="M14" s="3">
        <v>1</v>
      </c>
      <c r="N14" s="3">
        <v>0</v>
      </c>
      <c r="O14" s="3">
        <v>0</v>
      </c>
      <c r="P14" s="3">
        <v>5</v>
      </c>
      <c r="Q14" s="3">
        <v>2</v>
      </c>
      <c r="R14" s="3">
        <v>3</v>
      </c>
      <c r="S14" s="3">
        <v>0</v>
      </c>
      <c r="U14" s="8" t="s">
        <v>193</v>
      </c>
      <c r="V14" s="3">
        <v>0</v>
      </c>
      <c r="W14" s="3">
        <v>1</v>
      </c>
      <c r="X14" s="3">
        <v>0</v>
      </c>
      <c r="Y14" s="3">
        <v>3</v>
      </c>
      <c r="Z14" s="3">
        <v>0</v>
      </c>
      <c r="AA14" s="3">
        <v>0</v>
      </c>
      <c r="AB14" s="3">
        <v>0</v>
      </c>
      <c r="AC14" s="3">
        <v>1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3</v>
      </c>
      <c r="AK14" s="3">
        <v>1</v>
      </c>
      <c r="AL14" s="3">
        <v>0</v>
      </c>
      <c r="AM14" s="3">
        <v>0</v>
      </c>
      <c r="AO14" s="8" t="s">
        <v>193</v>
      </c>
      <c r="AP14" s="3">
        <v>0</v>
      </c>
      <c r="AQ14" s="3">
        <v>0</v>
      </c>
      <c r="AR14" s="3">
        <v>0</v>
      </c>
      <c r="AS14" s="3">
        <v>4</v>
      </c>
      <c r="AT14" s="3">
        <v>0</v>
      </c>
      <c r="AU14" s="3">
        <v>5</v>
      </c>
      <c r="AV14" s="3">
        <v>6</v>
      </c>
      <c r="AW14" s="3">
        <v>12</v>
      </c>
      <c r="AX14" s="3">
        <v>4</v>
      </c>
      <c r="AY14" s="3">
        <v>3</v>
      </c>
      <c r="AZ14" s="3">
        <v>0</v>
      </c>
      <c r="BA14" s="3">
        <v>2</v>
      </c>
      <c r="BB14" s="3">
        <v>0</v>
      </c>
      <c r="BC14" s="3">
        <v>0</v>
      </c>
      <c r="BD14" s="3">
        <v>44</v>
      </c>
      <c r="BE14" s="3">
        <v>10</v>
      </c>
      <c r="BF14" s="3">
        <v>14</v>
      </c>
      <c r="BG14" s="3">
        <v>0</v>
      </c>
      <c r="BI14" s="8" t="s">
        <v>193</v>
      </c>
      <c r="BJ14" s="3">
        <v>0</v>
      </c>
      <c r="BK14" s="3">
        <v>-4</v>
      </c>
      <c r="BL14" s="3">
        <v>0</v>
      </c>
      <c r="BM14" s="3">
        <v>-31</v>
      </c>
      <c r="BN14" s="3">
        <v>0</v>
      </c>
      <c r="BO14" s="3">
        <v>0</v>
      </c>
      <c r="BP14" s="3">
        <v>0</v>
      </c>
      <c r="BQ14" s="3">
        <v>-3</v>
      </c>
      <c r="BR14" s="3">
        <v>0</v>
      </c>
      <c r="BS14" s="3">
        <v>0</v>
      </c>
      <c r="BT14" s="3">
        <v>0</v>
      </c>
      <c r="BU14" s="3">
        <v>0</v>
      </c>
      <c r="BV14" s="3">
        <v>0</v>
      </c>
      <c r="BW14" s="3">
        <v>0</v>
      </c>
      <c r="BX14" s="3">
        <v>-14</v>
      </c>
      <c r="BY14" s="3">
        <v>-3</v>
      </c>
      <c r="BZ14" s="3">
        <v>0</v>
      </c>
      <c r="CA14" s="3">
        <v>0</v>
      </c>
      <c r="CC14" s="8" t="s">
        <v>193</v>
      </c>
      <c r="CD14" s="10">
        <v>0</v>
      </c>
      <c r="CE14" s="10">
        <v>-1</v>
      </c>
      <c r="CF14" s="10">
        <v>0</v>
      </c>
      <c r="CG14" s="10">
        <v>0.4</v>
      </c>
      <c r="CH14" s="10">
        <v>0</v>
      </c>
      <c r="CI14" s="10">
        <v>1</v>
      </c>
      <c r="CJ14" s="10">
        <v>1</v>
      </c>
      <c r="CK14" s="10">
        <v>0.75</v>
      </c>
      <c r="CL14" s="10">
        <v>1</v>
      </c>
      <c r="CM14" s="10">
        <v>1</v>
      </c>
      <c r="CN14" s="10">
        <v>0</v>
      </c>
      <c r="CO14" s="10">
        <v>1</v>
      </c>
      <c r="CP14" s="10">
        <v>0</v>
      </c>
      <c r="CQ14" s="10">
        <v>0</v>
      </c>
      <c r="CR14" s="10">
        <v>0.625</v>
      </c>
      <c r="CS14" s="10">
        <v>0.66666666666666663</v>
      </c>
      <c r="CT14" s="10">
        <v>1</v>
      </c>
      <c r="CU14" s="10">
        <v>0</v>
      </c>
      <c r="CV14" s="10"/>
      <c r="CW14" s="8" t="s">
        <v>193</v>
      </c>
      <c r="CX14" s="11">
        <v>0</v>
      </c>
      <c r="CY14" s="11">
        <v>-4</v>
      </c>
      <c r="CZ14" s="11">
        <v>0</v>
      </c>
      <c r="DA14" s="11">
        <v>-5.4</v>
      </c>
      <c r="DB14" s="11">
        <v>0</v>
      </c>
      <c r="DC14" s="11">
        <v>2.5</v>
      </c>
      <c r="DD14" s="11">
        <v>6</v>
      </c>
      <c r="DE14" s="11">
        <v>2.25</v>
      </c>
      <c r="DF14" s="11">
        <v>4</v>
      </c>
      <c r="DG14" s="11">
        <v>3</v>
      </c>
      <c r="DH14" s="11">
        <v>0</v>
      </c>
      <c r="DI14" s="11">
        <v>2</v>
      </c>
      <c r="DJ14" s="11">
        <v>0</v>
      </c>
      <c r="DK14" s="11">
        <v>0</v>
      </c>
      <c r="DL14" s="11">
        <v>3.75</v>
      </c>
      <c r="DM14" s="11">
        <v>2.3333333333333335</v>
      </c>
      <c r="DN14" s="11">
        <v>4.666666666666667</v>
      </c>
      <c r="DO14" s="11">
        <v>0</v>
      </c>
    </row>
    <row r="15" spans="1:119" ht="16.5" x14ac:dyDescent="0.15">
      <c r="A15" s="8" t="s">
        <v>194</v>
      </c>
      <c r="B15" s="3">
        <v>1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U15" s="8" t="s">
        <v>194</v>
      </c>
      <c r="V15" s="3">
        <v>2</v>
      </c>
      <c r="W15" s="3">
        <v>1</v>
      </c>
      <c r="X15" s="3">
        <v>0</v>
      </c>
      <c r="Y15" s="3">
        <v>1</v>
      </c>
      <c r="Z15" s="3">
        <v>0</v>
      </c>
      <c r="AA15" s="3">
        <v>0</v>
      </c>
      <c r="AB15" s="3">
        <v>2</v>
      </c>
      <c r="AC15" s="3">
        <v>0</v>
      </c>
      <c r="AD15" s="3">
        <v>2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1</v>
      </c>
      <c r="AK15" s="3">
        <v>0</v>
      </c>
      <c r="AL15" s="3">
        <v>0</v>
      </c>
      <c r="AM15" s="3">
        <v>0</v>
      </c>
      <c r="AO15" s="8" t="s">
        <v>194</v>
      </c>
      <c r="AP15" s="3">
        <v>3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I15" s="8" t="s">
        <v>194</v>
      </c>
      <c r="BJ15" s="3">
        <v>-12</v>
      </c>
      <c r="BK15" s="3">
        <v>-8</v>
      </c>
      <c r="BL15" s="3">
        <v>0</v>
      </c>
      <c r="BM15" s="3">
        <v>-8</v>
      </c>
      <c r="BN15" s="3">
        <v>0</v>
      </c>
      <c r="BO15" s="3">
        <v>0</v>
      </c>
      <c r="BP15" s="3">
        <v>-9</v>
      </c>
      <c r="BQ15" s="3">
        <v>0</v>
      </c>
      <c r="BR15" s="3">
        <v>-8</v>
      </c>
      <c r="BS15" s="3">
        <v>0</v>
      </c>
      <c r="BT15" s="3">
        <v>0</v>
      </c>
      <c r="BU15" s="3">
        <v>0</v>
      </c>
      <c r="BV15" s="3">
        <v>0</v>
      </c>
      <c r="BW15" s="3">
        <v>0</v>
      </c>
      <c r="BX15" s="3">
        <v>-13</v>
      </c>
      <c r="BY15" s="3">
        <v>0</v>
      </c>
      <c r="BZ15" s="3">
        <v>0</v>
      </c>
      <c r="CA15" s="3">
        <v>0</v>
      </c>
      <c r="CC15" s="8" t="s">
        <v>194</v>
      </c>
      <c r="CD15" s="10">
        <v>0.33333333333333331</v>
      </c>
      <c r="CE15" s="10">
        <v>-1</v>
      </c>
      <c r="CF15" s="10">
        <v>0</v>
      </c>
      <c r="CG15" s="10">
        <v>-1</v>
      </c>
      <c r="CH15" s="10">
        <v>0</v>
      </c>
      <c r="CI15" s="10">
        <v>0</v>
      </c>
      <c r="CJ15" s="10">
        <v>-1</v>
      </c>
      <c r="CK15" s="10">
        <v>0</v>
      </c>
      <c r="CL15" s="10">
        <v>-1</v>
      </c>
      <c r="CM15" s="10">
        <v>0</v>
      </c>
      <c r="CN15" s="10">
        <v>0</v>
      </c>
      <c r="CO15" s="10">
        <v>0</v>
      </c>
      <c r="CP15" s="10">
        <v>0</v>
      </c>
      <c r="CQ15" s="10">
        <v>0</v>
      </c>
      <c r="CR15" s="10">
        <v>-1</v>
      </c>
      <c r="CS15" s="10">
        <v>0</v>
      </c>
      <c r="CT15" s="10">
        <v>0</v>
      </c>
      <c r="CU15" s="10">
        <v>0</v>
      </c>
      <c r="CV15" s="10"/>
      <c r="CW15" s="8" t="s">
        <v>194</v>
      </c>
      <c r="CX15" s="11">
        <v>-3</v>
      </c>
      <c r="CY15" s="11">
        <v>-8</v>
      </c>
      <c r="CZ15" s="11">
        <v>0</v>
      </c>
      <c r="DA15" s="11">
        <v>-8</v>
      </c>
      <c r="DB15" s="11">
        <v>0</v>
      </c>
      <c r="DC15" s="11">
        <v>0</v>
      </c>
      <c r="DD15" s="11">
        <v>-4.5</v>
      </c>
      <c r="DE15" s="11">
        <v>0</v>
      </c>
      <c r="DF15" s="11">
        <v>-4</v>
      </c>
      <c r="DG15" s="11">
        <v>0</v>
      </c>
      <c r="DH15" s="11">
        <v>0</v>
      </c>
      <c r="DI15" s="11">
        <v>0</v>
      </c>
      <c r="DJ15" s="11">
        <v>0</v>
      </c>
      <c r="DK15" s="11">
        <v>0</v>
      </c>
      <c r="DL15" s="11">
        <v>-13</v>
      </c>
      <c r="DM15" s="11">
        <v>0</v>
      </c>
      <c r="DN15" s="11">
        <v>0</v>
      </c>
      <c r="DO15" s="11">
        <v>0</v>
      </c>
    </row>
    <row r="16" spans="1:119" ht="16.5" x14ac:dyDescent="0.15">
      <c r="A16" s="8" t="s">
        <v>195</v>
      </c>
      <c r="B16" s="3">
        <v>2</v>
      </c>
      <c r="C16" s="3">
        <v>2</v>
      </c>
      <c r="D16" s="3">
        <v>0</v>
      </c>
      <c r="E16" s="3">
        <v>0</v>
      </c>
      <c r="F16" s="3">
        <v>1</v>
      </c>
      <c r="G16" s="3">
        <v>5</v>
      </c>
      <c r="H16" s="3">
        <v>2</v>
      </c>
      <c r="I16" s="3">
        <v>1</v>
      </c>
      <c r="J16" s="3">
        <v>1</v>
      </c>
      <c r="K16" s="3">
        <v>0</v>
      </c>
      <c r="L16" s="3">
        <v>0</v>
      </c>
      <c r="M16" s="3">
        <v>1</v>
      </c>
      <c r="N16" s="3">
        <v>5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U16" s="8" t="s">
        <v>195</v>
      </c>
      <c r="V16" s="3">
        <v>3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1</v>
      </c>
      <c r="AC16" s="3">
        <v>3</v>
      </c>
      <c r="AD16" s="3">
        <v>0</v>
      </c>
      <c r="AE16" s="3">
        <v>2</v>
      </c>
      <c r="AF16" s="3">
        <v>0</v>
      </c>
      <c r="AG16" s="3">
        <v>0</v>
      </c>
      <c r="AH16" s="3">
        <v>3</v>
      </c>
      <c r="AI16" s="3">
        <v>1</v>
      </c>
      <c r="AJ16" s="3">
        <v>0</v>
      </c>
      <c r="AK16" s="3">
        <v>0</v>
      </c>
      <c r="AL16" s="3">
        <v>0</v>
      </c>
      <c r="AM16" s="3">
        <v>1</v>
      </c>
      <c r="AO16" s="8" t="s">
        <v>195</v>
      </c>
      <c r="AP16" s="3">
        <v>16</v>
      </c>
      <c r="AQ16" s="3">
        <v>11</v>
      </c>
      <c r="AR16" s="3">
        <v>0</v>
      </c>
      <c r="AS16" s="3">
        <v>0</v>
      </c>
      <c r="AT16" s="3">
        <v>14</v>
      </c>
      <c r="AU16" s="3">
        <v>38</v>
      </c>
      <c r="AV16" s="3">
        <v>8</v>
      </c>
      <c r="AW16" s="3">
        <v>4</v>
      </c>
      <c r="AX16" s="3">
        <v>8</v>
      </c>
      <c r="AY16" s="3">
        <v>0</v>
      </c>
      <c r="AZ16" s="3">
        <v>0</v>
      </c>
      <c r="BA16" s="3">
        <v>4</v>
      </c>
      <c r="BB16" s="3">
        <v>44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I16" s="8" t="s">
        <v>195</v>
      </c>
      <c r="BJ16" s="3">
        <v>-17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-3</v>
      </c>
      <c r="BQ16" s="3">
        <v>-19</v>
      </c>
      <c r="BR16" s="3">
        <v>0</v>
      </c>
      <c r="BS16" s="3">
        <v>-21</v>
      </c>
      <c r="BT16" s="3">
        <v>0</v>
      </c>
      <c r="BU16" s="3">
        <v>0</v>
      </c>
      <c r="BV16" s="3">
        <v>-14</v>
      </c>
      <c r="BW16" s="3">
        <v>-13</v>
      </c>
      <c r="BX16" s="3">
        <v>0</v>
      </c>
      <c r="BY16" s="3">
        <v>0</v>
      </c>
      <c r="BZ16" s="3">
        <v>0</v>
      </c>
      <c r="CA16" s="3">
        <v>-5</v>
      </c>
      <c r="CC16" s="8" t="s">
        <v>195</v>
      </c>
      <c r="CD16" s="10">
        <v>0.4</v>
      </c>
      <c r="CE16" s="10">
        <v>1</v>
      </c>
      <c r="CF16" s="10">
        <v>0</v>
      </c>
      <c r="CG16" s="10">
        <v>0</v>
      </c>
      <c r="CH16" s="10">
        <v>1</v>
      </c>
      <c r="CI16" s="10">
        <v>1</v>
      </c>
      <c r="CJ16" s="10">
        <v>0.66666666666666663</v>
      </c>
      <c r="CK16" s="10">
        <v>0.25</v>
      </c>
      <c r="CL16" s="10">
        <v>1</v>
      </c>
      <c r="CM16" s="10">
        <v>-1</v>
      </c>
      <c r="CN16" s="10">
        <v>0</v>
      </c>
      <c r="CO16" s="10">
        <v>1</v>
      </c>
      <c r="CP16" s="10">
        <v>0.625</v>
      </c>
      <c r="CQ16" s="10">
        <v>-1</v>
      </c>
      <c r="CR16" s="10">
        <v>0</v>
      </c>
      <c r="CS16" s="10">
        <v>0</v>
      </c>
      <c r="CT16" s="10">
        <v>0</v>
      </c>
      <c r="CU16" s="10">
        <v>-1</v>
      </c>
      <c r="CV16" s="10"/>
      <c r="CW16" s="8" t="s">
        <v>195</v>
      </c>
      <c r="CX16" s="11">
        <v>-0.2</v>
      </c>
      <c r="CY16" s="11">
        <v>5.5</v>
      </c>
      <c r="CZ16" s="11">
        <v>0</v>
      </c>
      <c r="DA16" s="11">
        <v>0</v>
      </c>
      <c r="DB16" s="11">
        <v>14</v>
      </c>
      <c r="DC16" s="11">
        <v>7.6</v>
      </c>
      <c r="DD16" s="11">
        <v>1.6666666666666667</v>
      </c>
      <c r="DE16" s="11">
        <v>-3.75</v>
      </c>
      <c r="DF16" s="11">
        <v>8</v>
      </c>
      <c r="DG16" s="11">
        <v>-10.5</v>
      </c>
      <c r="DH16" s="11">
        <v>0</v>
      </c>
      <c r="DI16" s="11">
        <v>4</v>
      </c>
      <c r="DJ16" s="11">
        <v>3.75</v>
      </c>
      <c r="DK16" s="11">
        <v>-13</v>
      </c>
      <c r="DL16" s="11">
        <v>0</v>
      </c>
      <c r="DM16" s="11">
        <v>0</v>
      </c>
      <c r="DN16" s="11">
        <v>0</v>
      </c>
      <c r="DO16" s="11">
        <v>-5</v>
      </c>
    </row>
    <row r="17" spans="1:119" ht="16.5" x14ac:dyDescent="0.15">
      <c r="A17" s="8" t="s">
        <v>196</v>
      </c>
      <c r="B17" s="3">
        <v>7</v>
      </c>
      <c r="C17" s="3">
        <v>6</v>
      </c>
      <c r="D17" s="3">
        <v>0</v>
      </c>
      <c r="E17" s="3">
        <v>0</v>
      </c>
      <c r="F17" s="3">
        <v>1</v>
      </c>
      <c r="G17" s="3">
        <v>4</v>
      </c>
      <c r="H17" s="3">
        <v>2</v>
      </c>
      <c r="I17" s="3">
        <v>2</v>
      </c>
      <c r="J17" s="3">
        <v>0</v>
      </c>
      <c r="K17" s="3">
        <v>0</v>
      </c>
      <c r="L17" s="3">
        <v>0</v>
      </c>
      <c r="M17" s="3">
        <v>0</v>
      </c>
      <c r="N17" s="3">
        <v>2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U17" s="8" t="s">
        <v>196</v>
      </c>
      <c r="V17" s="3">
        <v>4</v>
      </c>
      <c r="W17" s="3">
        <v>1</v>
      </c>
      <c r="X17" s="3">
        <v>1</v>
      </c>
      <c r="Y17" s="3">
        <v>0</v>
      </c>
      <c r="Z17" s="3">
        <v>2</v>
      </c>
      <c r="AA17" s="3">
        <v>2</v>
      </c>
      <c r="AB17" s="3">
        <v>4</v>
      </c>
      <c r="AC17" s="3">
        <v>4</v>
      </c>
      <c r="AD17" s="3">
        <v>0</v>
      </c>
      <c r="AE17" s="3">
        <v>0</v>
      </c>
      <c r="AF17" s="3">
        <v>1</v>
      </c>
      <c r="AG17" s="3">
        <v>1</v>
      </c>
      <c r="AH17" s="3">
        <v>1</v>
      </c>
      <c r="AI17" s="3">
        <v>0</v>
      </c>
      <c r="AJ17" s="3">
        <v>0</v>
      </c>
      <c r="AK17" s="3">
        <v>0</v>
      </c>
      <c r="AL17" s="3">
        <v>0</v>
      </c>
      <c r="AM17" s="3">
        <v>1</v>
      </c>
      <c r="AO17" s="8" t="s">
        <v>196</v>
      </c>
      <c r="AP17" s="3">
        <v>47</v>
      </c>
      <c r="AQ17" s="3">
        <v>38</v>
      </c>
      <c r="AR17" s="3">
        <v>0</v>
      </c>
      <c r="AS17" s="3">
        <v>0</v>
      </c>
      <c r="AT17" s="3">
        <v>3</v>
      </c>
      <c r="AU17" s="3">
        <v>31</v>
      </c>
      <c r="AV17" s="3">
        <v>10</v>
      </c>
      <c r="AW17" s="3">
        <v>14</v>
      </c>
      <c r="AX17" s="3">
        <v>0</v>
      </c>
      <c r="AY17" s="3">
        <v>0</v>
      </c>
      <c r="AZ17" s="3">
        <v>0</v>
      </c>
      <c r="BA17" s="3">
        <v>0</v>
      </c>
      <c r="BB17" s="3">
        <v>10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I17" s="8" t="s">
        <v>196</v>
      </c>
      <c r="BJ17" s="3">
        <v>-28</v>
      </c>
      <c r="BK17" s="3">
        <v>-6</v>
      </c>
      <c r="BL17" s="3">
        <v>-7</v>
      </c>
      <c r="BM17" s="3">
        <v>0</v>
      </c>
      <c r="BN17" s="3">
        <v>-17</v>
      </c>
      <c r="BO17" s="3">
        <v>-13</v>
      </c>
      <c r="BP17" s="3">
        <v>-30</v>
      </c>
      <c r="BQ17" s="3">
        <v>-24</v>
      </c>
      <c r="BR17" s="3">
        <v>0</v>
      </c>
      <c r="BS17" s="3">
        <v>0</v>
      </c>
      <c r="BT17" s="3">
        <v>-9</v>
      </c>
      <c r="BU17" s="3">
        <v>-9</v>
      </c>
      <c r="BV17" s="3">
        <v>-3</v>
      </c>
      <c r="BW17" s="3">
        <v>0</v>
      </c>
      <c r="BX17" s="3">
        <v>0</v>
      </c>
      <c r="BY17" s="3">
        <v>0</v>
      </c>
      <c r="BZ17" s="3">
        <v>0</v>
      </c>
      <c r="CA17" s="3">
        <v>-4</v>
      </c>
      <c r="CC17" s="8" t="s">
        <v>196</v>
      </c>
      <c r="CD17" s="10">
        <v>0.63636363636363635</v>
      </c>
      <c r="CE17" s="10">
        <v>0.8571428571428571</v>
      </c>
      <c r="CF17" s="10">
        <v>-1</v>
      </c>
      <c r="CG17" s="10">
        <v>0</v>
      </c>
      <c r="CH17" s="10">
        <v>0.33333333333333331</v>
      </c>
      <c r="CI17" s="10">
        <v>0.66666666666666663</v>
      </c>
      <c r="CJ17" s="10">
        <v>0.33333333333333331</v>
      </c>
      <c r="CK17" s="10">
        <v>0.33333333333333331</v>
      </c>
      <c r="CL17" s="10">
        <v>0</v>
      </c>
      <c r="CM17" s="10">
        <v>0</v>
      </c>
      <c r="CN17" s="10">
        <v>-1</v>
      </c>
      <c r="CO17" s="10">
        <v>-1</v>
      </c>
      <c r="CP17" s="10">
        <v>0.66666666666666663</v>
      </c>
      <c r="CQ17" s="10">
        <v>0</v>
      </c>
      <c r="CR17" s="10">
        <v>0</v>
      </c>
      <c r="CS17" s="10">
        <v>0</v>
      </c>
      <c r="CT17" s="10">
        <v>0</v>
      </c>
      <c r="CU17" s="10">
        <v>-1</v>
      </c>
      <c r="CV17" s="10"/>
      <c r="CW17" s="8" t="s">
        <v>196</v>
      </c>
      <c r="CX17" s="11">
        <v>1.7272727272727273</v>
      </c>
      <c r="CY17" s="11">
        <v>4.5714285714285712</v>
      </c>
      <c r="CZ17" s="11">
        <v>-7</v>
      </c>
      <c r="DA17" s="11">
        <v>0</v>
      </c>
      <c r="DB17" s="11">
        <v>-4.666666666666667</v>
      </c>
      <c r="DC17" s="11">
        <v>3</v>
      </c>
      <c r="DD17" s="11">
        <v>-3.3333333333333335</v>
      </c>
      <c r="DE17" s="11">
        <v>-1.6666666666666667</v>
      </c>
      <c r="DF17" s="11">
        <v>0</v>
      </c>
      <c r="DG17" s="11">
        <v>0</v>
      </c>
      <c r="DH17" s="11">
        <v>-9</v>
      </c>
      <c r="DI17" s="11">
        <v>-9</v>
      </c>
      <c r="DJ17" s="11">
        <v>2.3333333333333335</v>
      </c>
      <c r="DK17" s="11">
        <v>0</v>
      </c>
      <c r="DL17" s="11">
        <v>0</v>
      </c>
      <c r="DM17" s="11">
        <v>0</v>
      </c>
      <c r="DN17" s="11">
        <v>0</v>
      </c>
      <c r="DO17" s="11">
        <v>-4</v>
      </c>
    </row>
    <row r="18" spans="1:119" ht="16.5" x14ac:dyDescent="0.15">
      <c r="A18" s="8" t="s">
        <v>197</v>
      </c>
      <c r="B18" s="3">
        <v>0</v>
      </c>
      <c r="C18" s="3">
        <v>5</v>
      </c>
      <c r="D18" s="3">
        <v>0</v>
      </c>
      <c r="E18" s="3">
        <v>1</v>
      </c>
      <c r="F18" s="3">
        <v>0</v>
      </c>
      <c r="G18" s="3">
        <v>4</v>
      </c>
      <c r="H18" s="3">
        <v>2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3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U18" s="8" t="s">
        <v>197</v>
      </c>
      <c r="V18" s="3">
        <v>1</v>
      </c>
      <c r="W18" s="3">
        <v>3</v>
      </c>
      <c r="X18" s="3">
        <v>1</v>
      </c>
      <c r="Y18" s="3">
        <v>2</v>
      </c>
      <c r="Z18" s="3">
        <v>0</v>
      </c>
      <c r="AA18" s="3">
        <v>0</v>
      </c>
      <c r="AB18" s="3">
        <v>4</v>
      </c>
      <c r="AC18" s="3">
        <v>0</v>
      </c>
      <c r="AD18" s="3">
        <v>0</v>
      </c>
      <c r="AE18" s="3">
        <v>3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O18" s="8" t="s">
        <v>197</v>
      </c>
      <c r="AP18" s="3">
        <v>0</v>
      </c>
      <c r="AQ18" s="3">
        <v>43</v>
      </c>
      <c r="AR18" s="3">
        <v>0</v>
      </c>
      <c r="AS18" s="3">
        <v>10</v>
      </c>
      <c r="AT18" s="3">
        <v>0</v>
      </c>
      <c r="AU18" s="3">
        <v>25</v>
      </c>
      <c r="AV18" s="3">
        <v>7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14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I18" s="8" t="s">
        <v>197</v>
      </c>
      <c r="BJ18" s="3">
        <v>-2</v>
      </c>
      <c r="BK18" s="3">
        <v>-16</v>
      </c>
      <c r="BL18" s="3">
        <v>-17</v>
      </c>
      <c r="BM18" s="3">
        <v>-12</v>
      </c>
      <c r="BN18" s="3">
        <v>0</v>
      </c>
      <c r="BO18" s="3">
        <v>0</v>
      </c>
      <c r="BP18" s="3">
        <v>-28</v>
      </c>
      <c r="BQ18" s="3">
        <v>0</v>
      </c>
      <c r="BR18" s="3">
        <v>0</v>
      </c>
      <c r="BS18" s="3">
        <v>-24</v>
      </c>
      <c r="BT18" s="3">
        <v>0</v>
      </c>
      <c r="BU18" s="3">
        <v>0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C18" s="8" t="s">
        <v>197</v>
      </c>
      <c r="CD18" s="10">
        <v>-1</v>
      </c>
      <c r="CE18" s="10">
        <v>0.625</v>
      </c>
      <c r="CF18" s="10">
        <v>-1</v>
      </c>
      <c r="CG18" s="10">
        <v>0.33333333333333331</v>
      </c>
      <c r="CH18" s="10">
        <v>0</v>
      </c>
      <c r="CI18" s="10">
        <v>1</v>
      </c>
      <c r="CJ18" s="10">
        <v>0.33333333333333331</v>
      </c>
      <c r="CK18" s="10">
        <v>0</v>
      </c>
      <c r="CL18" s="10">
        <v>0</v>
      </c>
      <c r="CM18" s="10">
        <v>-1</v>
      </c>
      <c r="CN18" s="10">
        <v>0</v>
      </c>
      <c r="CO18" s="10">
        <v>0</v>
      </c>
      <c r="CP18" s="10">
        <v>1</v>
      </c>
      <c r="CQ18" s="10">
        <v>0</v>
      </c>
      <c r="CR18" s="10">
        <v>0</v>
      </c>
      <c r="CS18" s="10">
        <v>0</v>
      </c>
      <c r="CT18" s="10">
        <v>0</v>
      </c>
      <c r="CU18" s="10">
        <v>0</v>
      </c>
      <c r="CV18" s="10"/>
      <c r="CW18" s="8" t="s">
        <v>197</v>
      </c>
      <c r="CX18" s="11">
        <v>-2</v>
      </c>
      <c r="CY18" s="11">
        <v>3.375</v>
      </c>
      <c r="CZ18" s="11">
        <v>-17</v>
      </c>
      <c r="DA18" s="11">
        <v>-0.66666666666666663</v>
      </c>
      <c r="DB18" s="11">
        <v>0</v>
      </c>
      <c r="DC18" s="11">
        <v>6.25</v>
      </c>
      <c r="DD18" s="11">
        <v>-3.5</v>
      </c>
      <c r="DE18" s="11">
        <v>0</v>
      </c>
      <c r="DF18" s="11">
        <v>0</v>
      </c>
      <c r="DG18" s="11">
        <v>-8</v>
      </c>
      <c r="DH18" s="11">
        <v>0</v>
      </c>
      <c r="DI18" s="11">
        <v>0</v>
      </c>
      <c r="DJ18" s="11">
        <v>4.666666666666667</v>
      </c>
      <c r="DK18" s="11">
        <v>0</v>
      </c>
      <c r="DL18" s="11">
        <v>0</v>
      </c>
      <c r="DM18" s="11">
        <v>0</v>
      </c>
      <c r="DN18" s="11">
        <v>0</v>
      </c>
      <c r="DO18" s="11">
        <v>0</v>
      </c>
    </row>
    <row r="19" spans="1:119" ht="16.5" x14ac:dyDescent="0.15">
      <c r="A19" s="8" t="s">
        <v>198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1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U19" s="8" t="s">
        <v>198</v>
      </c>
      <c r="V19" s="3">
        <v>0</v>
      </c>
      <c r="W19" s="3">
        <v>0</v>
      </c>
      <c r="X19" s="3">
        <v>1</v>
      </c>
      <c r="Y19" s="3">
        <v>0</v>
      </c>
      <c r="Z19" s="3">
        <v>0</v>
      </c>
      <c r="AA19" s="3">
        <v>0</v>
      </c>
      <c r="AB19" s="3">
        <v>0</v>
      </c>
      <c r="AC19" s="3">
        <v>1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1</v>
      </c>
      <c r="AK19" s="3">
        <v>1</v>
      </c>
      <c r="AL19" s="3">
        <v>0</v>
      </c>
      <c r="AM19" s="3">
        <v>0</v>
      </c>
      <c r="AO19" s="8" t="s">
        <v>198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8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I19" s="8" t="s">
        <v>198</v>
      </c>
      <c r="BJ19" s="3">
        <v>0</v>
      </c>
      <c r="BK19" s="3">
        <v>0</v>
      </c>
      <c r="BL19" s="3">
        <v>-6</v>
      </c>
      <c r="BM19" s="3">
        <v>0</v>
      </c>
      <c r="BN19" s="3">
        <v>0</v>
      </c>
      <c r="BO19" s="3">
        <v>0</v>
      </c>
      <c r="BP19" s="3">
        <v>0</v>
      </c>
      <c r="BQ19" s="3">
        <v>-3</v>
      </c>
      <c r="BR19" s="3">
        <v>0</v>
      </c>
      <c r="BS19" s="3">
        <v>0</v>
      </c>
      <c r="BT19" s="3">
        <v>0</v>
      </c>
      <c r="BU19" s="3">
        <v>0</v>
      </c>
      <c r="BV19" s="3">
        <v>0</v>
      </c>
      <c r="BW19" s="3">
        <v>0</v>
      </c>
      <c r="BX19" s="3">
        <v>-5</v>
      </c>
      <c r="BY19" s="3">
        <v>-4</v>
      </c>
      <c r="BZ19" s="3">
        <v>0</v>
      </c>
      <c r="CA19" s="3">
        <v>0</v>
      </c>
      <c r="CC19" s="8" t="s">
        <v>198</v>
      </c>
      <c r="CD19" s="10">
        <v>0</v>
      </c>
      <c r="CE19" s="10">
        <v>0</v>
      </c>
      <c r="CF19" s="10">
        <v>-1</v>
      </c>
      <c r="CG19" s="10">
        <v>0</v>
      </c>
      <c r="CH19" s="10">
        <v>0</v>
      </c>
      <c r="CI19" s="10">
        <v>0</v>
      </c>
      <c r="CJ19" s="10">
        <v>1</v>
      </c>
      <c r="CK19" s="10">
        <v>-1</v>
      </c>
      <c r="CL19" s="10">
        <v>0</v>
      </c>
      <c r="CM19" s="10">
        <v>0</v>
      </c>
      <c r="CN19" s="10">
        <v>0</v>
      </c>
      <c r="CO19" s="10">
        <v>0</v>
      </c>
      <c r="CP19" s="10">
        <v>0</v>
      </c>
      <c r="CQ19" s="10">
        <v>0</v>
      </c>
      <c r="CR19" s="10">
        <v>-1</v>
      </c>
      <c r="CS19" s="10">
        <v>-1</v>
      </c>
      <c r="CT19" s="10">
        <v>0</v>
      </c>
      <c r="CU19" s="10">
        <v>0</v>
      </c>
      <c r="CV19" s="10"/>
      <c r="CW19" s="8" t="s">
        <v>198</v>
      </c>
      <c r="CX19" s="11">
        <v>0</v>
      </c>
      <c r="CY19" s="11">
        <v>0</v>
      </c>
      <c r="CZ19" s="11">
        <v>-6</v>
      </c>
      <c r="DA19" s="11">
        <v>0</v>
      </c>
      <c r="DB19" s="11">
        <v>0</v>
      </c>
      <c r="DC19" s="11">
        <v>0</v>
      </c>
      <c r="DD19" s="11">
        <v>8</v>
      </c>
      <c r="DE19" s="11">
        <v>-3</v>
      </c>
      <c r="DF19" s="11">
        <v>0</v>
      </c>
      <c r="DG19" s="11">
        <v>0</v>
      </c>
      <c r="DH19" s="11">
        <v>0</v>
      </c>
      <c r="DI19" s="11">
        <v>0</v>
      </c>
      <c r="DJ19" s="11">
        <v>0</v>
      </c>
      <c r="DK19" s="11">
        <v>0</v>
      </c>
      <c r="DL19" s="11">
        <v>-5</v>
      </c>
      <c r="DM19" s="11">
        <v>-4</v>
      </c>
      <c r="DN19" s="11">
        <v>0</v>
      </c>
      <c r="DO19" s="11">
        <v>0</v>
      </c>
    </row>
  </sheetData>
  <phoneticPr fontId="1" type="noConversion"/>
  <conditionalFormatting sqref="B2:Q17">
    <cfRule type="cellIs" dxfId="20" priority="21" operator="greaterThan">
      <formula>0</formula>
    </cfRule>
  </conditionalFormatting>
  <conditionalFormatting sqref="T2:T17 V2:AI17">
    <cfRule type="cellIs" dxfId="19" priority="20" operator="greaterThan">
      <formula>0</formula>
    </cfRule>
  </conditionalFormatting>
  <conditionalFormatting sqref="AP2:BA17">
    <cfRule type="cellIs" dxfId="18" priority="19" operator="greaterThan">
      <formula>0</formula>
    </cfRule>
    <cfRule type="cellIs" dxfId="17" priority="17" operator="greaterThan">
      <formula>0</formula>
    </cfRule>
    <cfRule type="cellIs" dxfId="16" priority="16" operator="greaterThan">
      <formula>0</formula>
    </cfRule>
  </conditionalFormatting>
  <conditionalFormatting sqref="BH2:BH17 BJ2:BS17">
    <cfRule type="cellIs" dxfId="15" priority="18" operator="lessThan">
      <formula>0</formula>
    </cfRule>
  </conditionalFormatting>
  <conditionalFormatting sqref="CD2:CK17">
    <cfRule type="cellIs" dxfId="14" priority="15" operator="greaterThan">
      <formula>0</formula>
    </cfRule>
    <cfRule type="cellIs" dxfId="13" priority="14" operator="lessThan">
      <formula>0</formula>
    </cfRule>
  </conditionalFormatting>
  <conditionalFormatting sqref="CX2:DO19">
    <cfRule type="cellIs" dxfId="12" priority="13" operator="greaterThan">
      <formula>0</formula>
    </cfRule>
    <cfRule type="cellIs" dxfId="11" priority="12" operator="lessThan">
      <formula>0</formula>
    </cfRule>
  </conditionalFormatting>
  <conditionalFormatting sqref="B19:S19 B18:Q18">
    <cfRule type="cellIs" dxfId="10" priority="11" operator="greaterThan">
      <formula>0</formula>
    </cfRule>
  </conditionalFormatting>
  <conditionalFormatting sqref="R2:S18">
    <cfRule type="cellIs" dxfId="9" priority="10" operator="greaterThan">
      <formula>0</formula>
    </cfRule>
  </conditionalFormatting>
  <conditionalFormatting sqref="AJ2:AN19">
    <cfRule type="cellIs" dxfId="8" priority="9" operator="greaterThan">
      <formula>0</formula>
    </cfRule>
  </conditionalFormatting>
  <conditionalFormatting sqref="BB2:BG19">
    <cfRule type="cellIs" dxfId="7" priority="6" operator="greaterThan">
      <formula>0</formula>
    </cfRule>
    <cfRule type="cellIs" dxfId="6" priority="7" operator="greaterThan">
      <formula>0</formula>
    </cfRule>
    <cfRule type="cellIs" dxfId="5" priority="8" operator="greaterThan">
      <formula>0</formula>
    </cfRule>
  </conditionalFormatting>
  <conditionalFormatting sqref="BT2:CB19">
    <cfRule type="cellIs" dxfId="4" priority="5" operator="lessThan">
      <formula>0</formula>
    </cfRule>
  </conditionalFormatting>
  <conditionalFormatting sqref="CL2:CV17 CM18:CV19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CD18:CL19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horizontalDpi="200" verticalDpi="200" copies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成员信息</vt:lpstr>
      <vt:lpstr>比赛数据-双打</vt:lpstr>
      <vt:lpstr>比赛数据-单打</vt:lpstr>
      <vt:lpstr>详细分析</vt:lpstr>
      <vt:lpstr>成员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</dc:creator>
  <cp:lastModifiedBy>Xiao</cp:lastModifiedBy>
  <dcterms:created xsi:type="dcterms:W3CDTF">2015-02-06T02:11:51Z</dcterms:created>
  <dcterms:modified xsi:type="dcterms:W3CDTF">2015-04-23T03:34:23Z</dcterms:modified>
</cp:coreProperties>
</file>