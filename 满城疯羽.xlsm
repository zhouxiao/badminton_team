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badminton_team\"/>
    </mc:Choice>
  </mc:AlternateContent>
  <bookViews>
    <workbookView xWindow="0" yWindow="0" windowWidth="20730" windowHeight="11760" activeTab="3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3" i="3"/>
  <c r="A2" i="3" l="1"/>
  <c r="A2" i="2"/>
  <c r="K36" i="1" l="1"/>
  <c r="H36" i="1" s="1"/>
  <c r="K9" i="1"/>
  <c r="K3" i="1"/>
  <c r="K18" i="1"/>
  <c r="K6" i="1"/>
  <c r="K17" i="1"/>
  <c r="K19" i="1"/>
  <c r="K8" i="1"/>
  <c r="K20" i="1"/>
  <c r="K23" i="1"/>
  <c r="K2" i="1"/>
  <c r="K26" i="1"/>
  <c r="K14" i="1"/>
  <c r="K28" i="1"/>
  <c r="K11" i="1"/>
  <c r="K4" i="1"/>
  <c r="K22" i="1"/>
  <c r="K10" i="1"/>
  <c r="K13" i="1"/>
  <c r="K25" i="1"/>
  <c r="K7" i="1"/>
  <c r="K12" i="1"/>
  <c r="K15" i="1"/>
  <c r="K5" i="1"/>
  <c r="K21" i="1"/>
  <c r="K24" i="1"/>
  <c r="K27" i="1"/>
  <c r="K29" i="1"/>
  <c r="H29" i="1" s="1"/>
  <c r="K30" i="1"/>
  <c r="H30" i="1" s="1"/>
  <c r="K31" i="1"/>
  <c r="H31" i="1" s="1"/>
  <c r="K32" i="1"/>
  <c r="H32" i="1" s="1"/>
  <c r="K33" i="1"/>
  <c r="H33" i="1" s="1"/>
  <c r="K34" i="1"/>
  <c r="H34" i="1" s="1"/>
  <c r="K35" i="1"/>
  <c r="H35" i="1" s="1"/>
  <c r="AE7" i="1"/>
  <c r="AB7" i="1" s="1"/>
  <c r="AE8" i="1"/>
  <c r="AB8" i="1" s="1"/>
  <c r="AE9" i="1"/>
  <c r="AB9" i="1" s="1"/>
  <c r="AE10" i="1"/>
  <c r="AB10" i="1" s="1"/>
  <c r="AE11" i="1"/>
  <c r="AB11" i="1" s="1"/>
  <c r="AE12" i="1"/>
  <c r="AB12" i="1" s="1"/>
  <c r="AE13" i="1"/>
  <c r="AB13" i="1" s="1"/>
  <c r="AE14" i="1"/>
  <c r="AB14" i="1" s="1"/>
  <c r="AE15" i="1"/>
  <c r="AB15" i="1" s="1"/>
  <c r="AE16" i="1"/>
  <c r="AB16" i="1" s="1"/>
  <c r="AE17" i="1"/>
  <c r="AB17" i="1" s="1"/>
  <c r="AE18" i="1"/>
  <c r="AB18" i="1" s="1"/>
  <c r="AE19" i="1"/>
  <c r="AB19" i="1" s="1"/>
  <c r="AE20" i="1"/>
  <c r="AB20" i="1" s="1"/>
  <c r="AE21" i="1"/>
  <c r="AB21" i="1" s="1"/>
  <c r="AE22" i="1"/>
  <c r="AB22" i="1" s="1"/>
  <c r="AE23" i="1"/>
  <c r="AB23" i="1" s="1"/>
  <c r="AE24" i="1"/>
  <c r="AB24" i="1" s="1"/>
  <c r="AE25" i="1"/>
  <c r="AB25" i="1" s="1"/>
  <c r="AE26" i="1"/>
  <c r="AB26" i="1" s="1"/>
  <c r="K16" i="1"/>
  <c r="H25" i="1" l="1"/>
  <c r="H23" i="1"/>
  <c r="H2" i="1"/>
  <c r="H17" i="1"/>
  <c r="H13" i="1"/>
  <c r="H6" i="1"/>
  <c r="H26" i="1"/>
  <c r="H21" i="1"/>
  <c r="H28" i="1"/>
  <c r="H7" i="1"/>
  <c r="H12" i="1"/>
  <c r="H20" i="1"/>
  <c r="H27" i="1"/>
  <c r="H8" i="1"/>
  <c r="H3" i="1"/>
  <c r="H5" i="1"/>
  <c r="H9" i="1"/>
  <c r="H18" i="1"/>
  <c r="H4" i="1"/>
  <c r="H14" i="1"/>
  <c r="H15" i="1"/>
  <c r="H19" i="1"/>
  <c r="H11" i="1"/>
  <c r="H22" i="1"/>
  <c r="H16" i="1"/>
  <c r="H24" i="1"/>
  <c r="H10" i="1"/>
</calcChain>
</file>

<file path=xl/sharedStrings.xml><?xml version="1.0" encoding="utf-8"?>
<sst xmlns="http://schemas.openxmlformats.org/spreadsheetml/2006/main" count="380" uniqueCount="98">
  <si>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</si>
  <si>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</si>
  <si>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</si>
  <si>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</si>
  <si>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MX-老龙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</si>
  <si>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</si>
  <si>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</si>
  <si>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</si>
  <si>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</si>
  <si>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</si>
  <si>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</si>
  <si>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</si>
  <si>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</si>
  <si>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</si>
  <si>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</si>
  <si>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</si>
  <si>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</si>
  <si>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</si>
  <si>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</si>
  <si>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</si>
  <si>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</si>
  <si>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</si>
  <si>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</si>
  <si>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</si>
  <si>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</si>
  <si>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</si>
  <si>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</si>
  <si>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</si>
  <si>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</si>
  <si>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</si>
  <si>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</si>
  <si>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</si>
  <si>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JM-老罗</t>
    <phoneticPr fontId="1" type="noConversion"/>
  </si>
  <si>
    <t>MX-老龙</t>
  </si>
  <si>
    <t>WX-王欣</t>
  </si>
  <si>
    <t>HJ-李辉军</t>
  </si>
  <si>
    <t>XJ</t>
    <phoneticPr fontId="1" type="noConversion"/>
  </si>
  <si>
    <t>YW</t>
    <phoneticPr fontId="1" type="noConversion"/>
  </si>
  <si>
    <t>XY-小鱼</t>
    <phoneticPr fontId="1" type="noConversion"/>
  </si>
  <si>
    <t>YF</t>
    <phoneticPr fontId="1" type="noConversion"/>
  </si>
  <si>
    <t>HJ</t>
  </si>
  <si>
    <t>YF</t>
  </si>
  <si>
    <t>XJ</t>
  </si>
  <si>
    <t>YW</t>
  </si>
  <si>
    <t>XG-小光</t>
    <phoneticPr fontId="1" type="noConversion"/>
  </si>
  <si>
    <t>HJ-辉军</t>
    <phoneticPr fontId="1" type="noConversion"/>
  </si>
  <si>
    <t>YF-闫峰</t>
    <phoneticPr fontId="1" type="noConversion"/>
  </si>
  <si>
    <t>YW-昱伟</t>
    <phoneticPr fontId="1" type="noConversion"/>
  </si>
  <si>
    <t>YH-银华</t>
    <phoneticPr fontId="1" type="noConversion"/>
  </si>
  <si>
    <t>老罗+闫峰</t>
    <phoneticPr fontId="1" type="noConversion"/>
  </si>
  <si>
    <t>周霄+银华</t>
    <phoneticPr fontId="1" type="noConversion"/>
  </si>
  <si>
    <t>老罗+钻石</t>
    <phoneticPr fontId="1" type="noConversion"/>
  </si>
  <si>
    <t>谢军+钻石</t>
    <phoneticPr fontId="1" type="noConversion"/>
  </si>
  <si>
    <t>王欣+银华</t>
    <phoneticPr fontId="1" type="noConversion"/>
  </si>
  <si>
    <t>老罗+老龙</t>
    <phoneticPr fontId="1" type="noConversion"/>
  </si>
  <si>
    <t>王欣+闫峰</t>
    <phoneticPr fontId="1" type="noConversion"/>
  </si>
  <si>
    <t>王欣+老龙</t>
    <phoneticPr fontId="1" type="noConversion"/>
  </si>
  <si>
    <t>周霄+王欣</t>
    <phoneticPr fontId="1" type="noConversion"/>
  </si>
  <si>
    <t>王欣+钻石</t>
    <phoneticPr fontId="1" type="noConversion"/>
  </si>
  <si>
    <t>老龙+银华</t>
    <phoneticPr fontId="1" type="noConversion"/>
  </si>
  <si>
    <t>周霄+闫峰</t>
    <phoneticPr fontId="1" type="noConversion"/>
  </si>
  <si>
    <t>谢军</t>
    <phoneticPr fontId="1" type="noConversion"/>
  </si>
  <si>
    <t>白黠</t>
    <phoneticPr fontId="1" type="noConversion"/>
  </si>
  <si>
    <t>老龙</t>
    <phoneticPr fontId="1" type="noConversion"/>
  </si>
  <si>
    <t>小光</t>
    <phoneticPr fontId="1" type="noConversion"/>
  </si>
  <si>
    <t>辉军</t>
    <phoneticPr fontId="1" type="noConversion"/>
  </si>
  <si>
    <t>闫峰</t>
    <phoneticPr fontId="1" type="noConversion"/>
  </si>
  <si>
    <t>老罗</t>
    <phoneticPr fontId="1" type="noConversion"/>
  </si>
  <si>
    <t>王欣</t>
    <phoneticPr fontId="1" type="noConversion"/>
  </si>
  <si>
    <t>陌陌</t>
    <phoneticPr fontId="1" type="noConversion"/>
  </si>
  <si>
    <t>波波</t>
    <phoneticPr fontId="1" type="noConversion"/>
  </si>
  <si>
    <t>小草</t>
    <phoneticPr fontId="1" type="noConversion"/>
  </si>
  <si>
    <t>昱伟</t>
    <phoneticPr fontId="1" type="noConversion"/>
  </si>
  <si>
    <t>银华</t>
    <phoneticPr fontId="1" type="noConversion"/>
  </si>
  <si>
    <t>钻石</t>
    <phoneticPr fontId="1" type="noConversion"/>
  </si>
  <si>
    <t>小鱼</t>
    <phoneticPr fontId="1" type="noConversion"/>
  </si>
  <si>
    <t>周霄</t>
    <phoneticPr fontId="1" type="noConversion"/>
  </si>
  <si>
    <t>胜场统计</t>
    <phoneticPr fontId="1" type="noConversion"/>
  </si>
  <si>
    <t>负场统计</t>
    <phoneticPr fontId="1" type="noConversion"/>
  </si>
  <si>
    <t>总胜分统计</t>
    <phoneticPr fontId="1" type="noConversion"/>
  </si>
  <si>
    <t>总负分统计</t>
    <phoneticPr fontId="1" type="noConversion"/>
  </si>
  <si>
    <t>老罗+谢军</t>
    <phoneticPr fontId="1" type="noConversion"/>
  </si>
  <si>
    <t>银华+闫峰</t>
    <phoneticPr fontId="1" type="noConversion"/>
  </si>
  <si>
    <t>谢军+闫峰</t>
    <phoneticPr fontId="1" type="noConversion"/>
  </si>
  <si>
    <t>老龙+谢军</t>
    <phoneticPr fontId="1" type="noConversion"/>
  </si>
  <si>
    <t>昱伟+钻石</t>
    <phoneticPr fontId="1" type="noConversion"/>
  </si>
  <si>
    <t>周霄+老罗</t>
    <phoneticPr fontId="1" type="noConversion"/>
  </si>
  <si>
    <t>昱伟+老罗</t>
    <phoneticPr fontId="1" type="noConversion"/>
  </si>
  <si>
    <t>钻石+银华</t>
    <phoneticPr fontId="1" type="noConversion"/>
  </si>
  <si>
    <t>谢军+银华</t>
    <phoneticPr fontId="1" type="noConversion"/>
  </si>
  <si>
    <t>胜率统计</t>
    <phoneticPr fontId="1" type="noConversion"/>
  </si>
  <si>
    <t>场均净胜分统计</t>
    <phoneticPr fontId="1" type="noConversion"/>
  </si>
  <si>
    <t>钻石+闫峰</t>
    <phoneticPr fontId="1" type="noConversion"/>
  </si>
  <si>
    <t>周霄+钻石</t>
    <phoneticPr fontId="1" type="noConversion"/>
  </si>
  <si>
    <t>周霄+老龙</t>
    <phoneticPr fontId="1" type="noConversion"/>
  </si>
  <si>
    <t>周霄+谢军</t>
    <phoneticPr fontId="1" type="noConversion"/>
  </si>
  <si>
    <t>昱伟+闫峰</t>
    <phoneticPr fontId="1" type="noConversion"/>
  </si>
  <si>
    <t>周霄+辉军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</si>
</sst>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08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老罗+老龙</c:v>
                </c:pt>
                <c:pt idx="1">
                  <c:v>周霄+老罗</c:v>
                </c:pt>
                <c:pt idx="2">
                  <c:v>周霄+钻石</c:v>
                </c:pt>
                <c:pt idx="3">
                  <c:v>老罗+谢军</c:v>
                </c:pt>
                <c:pt idx="4">
                  <c:v>谢军+闫峰</c:v>
                </c:pt>
                <c:pt idx="5">
                  <c:v>周霄+闫峰</c:v>
                </c:pt>
                <c:pt idx="6">
                  <c:v>王欣+钻石</c:v>
                </c:pt>
                <c:pt idx="7">
                  <c:v>周霄+老龙</c:v>
                </c:pt>
                <c:pt idx="8">
                  <c:v>昱伟+闫峰</c:v>
                </c:pt>
                <c:pt idx="9">
                  <c:v>周霄+王欣</c:v>
                </c:pt>
                <c:pt idx="10">
                  <c:v>钻石+闫峰</c:v>
                </c:pt>
                <c:pt idx="11">
                  <c:v>周霄+谢军</c:v>
                </c:pt>
                <c:pt idx="12">
                  <c:v>老龙+谢军</c:v>
                </c:pt>
                <c:pt idx="13">
                  <c:v>周霄+辉军</c:v>
                </c:pt>
                <c:pt idx="14">
                  <c:v>老罗+闫峰</c:v>
                </c:pt>
                <c:pt idx="15">
                  <c:v>昱伟+钻石</c:v>
                </c:pt>
                <c:pt idx="16">
                  <c:v>谢军+银华</c:v>
                </c:pt>
                <c:pt idx="17">
                  <c:v>王欣+老龙</c:v>
                </c:pt>
                <c:pt idx="18">
                  <c:v>银华+闫峰</c:v>
                </c:pt>
                <c:pt idx="19">
                  <c:v>周霄+银华</c:v>
                </c:pt>
                <c:pt idx="20">
                  <c:v>老罗+钻石</c:v>
                </c:pt>
                <c:pt idx="21">
                  <c:v>谢军+钻石</c:v>
                </c:pt>
                <c:pt idx="22">
                  <c:v>王欣+银华</c:v>
                </c:pt>
              </c:strCache>
            </c:strRef>
          </c:cat>
          <c:val>
            <c:numRef>
              <c:f>成员信息!$H$2:$H$24</c:f>
              <c:numCache>
                <c:formatCode>0.00%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0.66666666666666663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0.33333333333333331</c:v>
                </c:pt>
                <c:pt idx="17">
                  <c:v>0.25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56683320"/>
        <c:axId val="217111344"/>
      </c:barChart>
      <c:catAx>
        <c:axId val="156683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111344"/>
        <c:crosses val="autoZero"/>
        <c:auto val="1"/>
        <c:lblAlgn val="ctr"/>
        <c:lblOffset val="100"/>
        <c:noMultiLvlLbl val="0"/>
      </c:catAx>
      <c:valAx>
        <c:axId val="2171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68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22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老罗+老龙</c:v>
                </c:pt>
                <c:pt idx="1">
                  <c:v>周霄+老罗</c:v>
                </c:pt>
                <c:pt idx="2">
                  <c:v>周霄+钻石</c:v>
                </c:pt>
                <c:pt idx="3">
                  <c:v>老罗+谢军</c:v>
                </c:pt>
                <c:pt idx="4">
                  <c:v>谢军+闫峰</c:v>
                </c:pt>
                <c:pt idx="5">
                  <c:v>周霄+闫峰</c:v>
                </c:pt>
                <c:pt idx="6">
                  <c:v>王欣+钻石</c:v>
                </c:pt>
                <c:pt idx="7">
                  <c:v>周霄+老龙</c:v>
                </c:pt>
                <c:pt idx="8">
                  <c:v>昱伟+闫峰</c:v>
                </c:pt>
                <c:pt idx="9">
                  <c:v>周霄+王欣</c:v>
                </c:pt>
                <c:pt idx="10">
                  <c:v>钻石+闫峰</c:v>
                </c:pt>
                <c:pt idx="11">
                  <c:v>周霄+谢军</c:v>
                </c:pt>
                <c:pt idx="12">
                  <c:v>老龙+谢军</c:v>
                </c:pt>
                <c:pt idx="13">
                  <c:v>周霄+辉军</c:v>
                </c:pt>
                <c:pt idx="14">
                  <c:v>老罗+闫峰</c:v>
                </c:pt>
                <c:pt idx="15">
                  <c:v>昱伟+钻石</c:v>
                </c:pt>
                <c:pt idx="16">
                  <c:v>谢军+银华</c:v>
                </c:pt>
                <c:pt idx="17">
                  <c:v>王欣+老龙</c:v>
                </c:pt>
                <c:pt idx="18">
                  <c:v>银华+闫峰</c:v>
                </c:pt>
                <c:pt idx="19">
                  <c:v>周霄+银华</c:v>
                </c:pt>
                <c:pt idx="20">
                  <c:v>老罗+钻石</c:v>
                </c:pt>
                <c:pt idx="21">
                  <c:v>谢军+钻石</c:v>
                </c:pt>
                <c:pt idx="22">
                  <c:v>王欣+银华</c:v>
                </c:pt>
              </c:strCache>
            </c:strRef>
          </c:cat>
          <c:val>
            <c:numRef>
              <c:f>成员信息!$K$2:$K$24</c:f>
              <c:numCache>
                <c:formatCode>General</c:formatCode>
                <c:ptCount val="23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6771912"/>
        <c:axId val="216772296"/>
      </c:barChart>
      <c:catAx>
        <c:axId val="216771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772296"/>
        <c:crosses val="autoZero"/>
        <c:auto val="1"/>
        <c:lblAlgn val="ctr"/>
        <c:lblOffset val="100"/>
        <c:noMultiLvlLbl val="0"/>
      </c:catAx>
      <c:valAx>
        <c:axId val="216772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7719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4"/>
                <c:pt idx="0">
                  <c:v>XJ</c:v>
                </c:pt>
                <c:pt idx="1">
                  <c:v>YF</c:v>
                </c:pt>
                <c:pt idx="2">
                  <c:v>HJ</c:v>
                </c:pt>
                <c:pt idx="3">
                  <c:v>YW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6812816"/>
        <c:axId val="216813200"/>
      </c:barChart>
      <c:catAx>
        <c:axId val="21681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813200"/>
        <c:crosses val="autoZero"/>
        <c:auto val="1"/>
        <c:lblAlgn val="ctr"/>
        <c:lblOffset val="100"/>
        <c:noMultiLvlLbl val="0"/>
      </c:catAx>
      <c:valAx>
        <c:axId val="21681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81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4"/>
                <c:pt idx="0">
                  <c:v>XJ</c:v>
                </c:pt>
                <c:pt idx="1">
                  <c:v>YF</c:v>
                </c:pt>
                <c:pt idx="2">
                  <c:v>HJ</c:v>
                </c:pt>
                <c:pt idx="3">
                  <c:v>YW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-3</c:v>
                </c:pt>
                <c:pt idx="1">
                  <c:v>-9</c:v>
                </c:pt>
                <c:pt idx="2">
                  <c:v>-2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7427304"/>
        <c:axId val="217427688"/>
      </c:barChart>
      <c:catAx>
        <c:axId val="217427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427688"/>
        <c:crosses val="autoZero"/>
        <c:auto val="1"/>
        <c:lblAlgn val="ctr"/>
        <c:lblOffset val="100"/>
        <c:noMultiLvlLbl val="0"/>
      </c:catAx>
      <c:valAx>
        <c:axId val="217427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4273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详细分析!$B$2:$Q$2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详细分析!$B$3:$Q$3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详细分析!$B$5:$Q$5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详细分析!$B$6:$Q$6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详细分析!$B$7:$Q$7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详细分析!$B$8:$Q$8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详细分析!$B$9:$Q$9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详细分析!$B$10:$Q$10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详细分析!$B$11:$Q$11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详细分析!$B$12:$Q$12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详细分析!$B$13:$Q$13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详细分析!$B$14:$Q$14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详细分析!$B$15:$Q$15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详细分析!$B$16:$Q$16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详细分析!$B$17:$Q$17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7481680"/>
        <c:axId val="216107488"/>
      </c:lineChart>
      <c:catAx>
        <c:axId val="21748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107488"/>
        <c:crosses val="autoZero"/>
        <c:auto val="1"/>
        <c:lblAlgn val="ctr"/>
        <c:lblOffset val="100"/>
        <c:noMultiLvlLbl val="0"/>
      </c:catAx>
      <c:valAx>
        <c:axId val="2161074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748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详细分析!$S$2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详细分析!$T$2:$AI$2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详细分析!$S$3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详细分析!$T$3:$AI$3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详细分析!$S$4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详细分析!$T$4:$AI$4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详细分析!$S$5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详细分析!$T$5:$AI$5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详细分析!$S$6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详细分析!$T$6:$AI$6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详细分析!$S$7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详细分析!$T$7:$AI$7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详细分析!$S$8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详细分析!$T$8:$AI$8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详细分析!$S$9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详细分析!$T$9:$AI$9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详细分析!$S$10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详细分析!$T$10:$AI$10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详细分析!$S$11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详细分析!$T$11:$AI$11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详细分析!$S$12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详细分析!$T$12:$AI$12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详细分析!$S$13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详细分析!$T$13:$AI$13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详细分析!$S$14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详细分析!$T$14:$AI$14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详细分析!$S$15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详细分析!$T$15:$AI$15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详细分析!$S$16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详细分析!$T$16:$AI$16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详细分析!$S$17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详细分析!$T$17:$AI$17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6108664"/>
        <c:axId val="216109056"/>
      </c:lineChart>
      <c:catAx>
        <c:axId val="21610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109056"/>
        <c:crosses val="autoZero"/>
        <c:auto val="1"/>
        <c:lblAlgn val="ctr"/>
        <c:lblOffset val="100"/>
        <c:noMultiLvlLbl val="0"/>
      </c:catAx>
      <c:valAx>
        <c:axId val="2161090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610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详细分析!$AK$2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详细分析!$AL$2:$BA$2</c:f>
              <c:numCache>
                <c:formatCode>General</c:formatCode>
                <c:ptCount val="16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详细分析!$AK$3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详细分析!$AL$3:$BA$3</c:f>
              <c:numCache>
                <c:formatCode>General</c:formatCode>
                <c:ptCount val="16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5</c:v>
                </c:pt>
                <c:pt idx="6">
                  <c:v>8</c:v>
                </c:pt>
                <c:pt idx="7">
                  <c:v>12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详细分析!$AK$4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详细分析!$AL$4:$BA$4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详细分析!$AK$5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详细分析!$AL$5:$BA$5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详细分析!$AK$6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详细分析!$AL$6:$BA$6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详细分析!$AK$7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详细分析!$AL$7:$BA$7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详细分析!$AK$8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详细分析!$AL$8:$BA$8</c:f>
              <c:numCache>
                <c:formatCode>General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详细分析!$AK$9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详细分析!$AL$9:$BA$9</c:f>
              <c:numCache>
                <c:formatCode>General</c:formatCode>
                <c:ptCount val="16"/>
                <c:pt idx="0">
                  <c:v>10</c:v>
                </c:pt>
                <c:pt idx="1">
                  <c:v>12</c:v>
                </c:pt>
                <c:pt idx="2">
                  <c:v>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详细分析!$AK$10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详细分析!$AL$10:$BA$10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详细分析!$AK$11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详细分析!$AL$11:$BA$11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详细分析!$AK$12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详细分析!$AL$12:$BA$12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详细分析!$AK$13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详细分析!$AL$13:$BA$13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详细分析!$AK$14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详细分析!$AL$14:$BA$14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详细分析!$AK$15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详细分析!$AL$15:$BA$15</c:f>
              <c:numCache>
                <c:formatCode>General</c:formatCode>
                <c:ptCount val="1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详细分析!$AK$16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详细分析!$AL$16:$BA$16</c:f>
              <c:numCache>
                <c:formatCode>General</c:formatCode>
                <c:ptCount val="16"/>
                <c:pt idx="0">
                  <c:v>0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详细分析!$AK$17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详细分析!$AL$17:$BA$17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6108272"/>
        <c:axId val="216107096"/>
      </c:lineChart>
      <c:catAx>
        <c:axId val="21610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107096"/>
        <c:crosses val="autoZero"/>
        <c:auto val="1"/>
        <c:lblAlgn val="ctr"/>
        <c:lblOffset val="100"/>
        <c:noMultiLvlLbl val="0"/>
      </c:catAx>
      <c:valAx>
        <c:axId val="2161070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610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详细分析!$BC$2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详细分析!$BD$2:$BS$2</c:f>
              <c:numCache>
                <c:formatCode>General</c:formatCode>
                <c:ptCount val="16"/>
                <c:pt idx="0">
                  <c:v>0</c:v>
                </c:pt>
                <c:pt idx="1">
                  <c:v>-6</c:v>
                </c:pt>
                <c:pt idx="2">
                  <c:v>0</c:v>
                </c:pt>
                <c:pt idx="3">
                  <c:v>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-12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详细分析!$BC$3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详细分析!$BD$3:$BS$3</c:f>
              <c:numCache>
                <c:formatCode>General</c:formatCode>
                <c:ptCount val="16"/>
                <c:pt idx="0">
                  <c:v>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详细分析!$BC$4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详细分析!$BD$4:$BS$4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详细分析!$BC$5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详细分析!$BD$5:$BS$5</c:f>
              <c:numCache>
                <c:formatCode>General</c:formatCode>
                <c:ptCount val="16"/>
                <c:pt idx="0">
                  <c:v>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详细分析!$BC$6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详细分析!$BD$6:$BS$6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详细分析!$BC$7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详细分析!$BD$7:$BS$7</c:f>
              <c:numCache>
                <c:formatCode>General</c:formatCode>
                <c:ptCount val="16"/>
                <c:pt idx="0">
                  <c:v>0</c:v>
                </c:pt>
                <c:pt idx="1">
                  <c:v>-7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详细分析!$BC$8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详细分析!$BD$8:$BS$8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</c:v>
                </c:pt>
                <c:pt idx="8">
                  <c:v>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</c:v>
                </c:pt>
                <c:pt idx="14">
                  <c:v>-3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详细分析!$BC$9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详细分析!$BD$9:$BS$9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详细分析!$BC$10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详细分析!$BD$10:$BS$10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详细分析!$BC$11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详细分析!$BD$11:$BS$11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详细分析!$BC$12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详细分析!$BD$12:$BS$12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详细分析!$BC$13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详细分析!$BD$13:$BS$13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详细分析!$BC$14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详细分析!$BD$14:$BS$14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详细分析!$BC$15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详细分析!$BD$15:$BS$15</c:f>
              <c:numCache>
                <c:formatCode>General</c:formatCode>
                <c:ptCount val="16"/>
                <c:pt idx="0">
                  <c:v>-12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详细分析!$BC$16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详细分析!$BD$16:$BS$16</c:f>
              <c:numCache>
                <c:formatCode>General</c:formatCode>
                <c:ptCount val="16"/>
                <c:pt idx="0">
                  <c:v>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详细分析!$BC$17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详细分析!$BD$17:$BS$17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6106312"/>
        <c:axId val="216105920"/>
      </c:lineChart>
      <c:catAx>
        <c:axId val="216106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105920"/>
        <c:crosses val="autoZero"/>
        <c:auto val="1"/>
        <c:lblAlgn val="ctr"/>
        <c:lblOffset val="100"/>
        <c:noMultiLvlLbl val="0"/>
      </c:catAx>
      <c:valAx>
        <c:axId val="2161059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610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详细分析!$BU$2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详细分析!$BV$2:$CK$2</c:f>
              <c:numCache>
                <c:formatCode>0%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详细分析!$BU$3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详细分析!$BV$3:$CK$3</c:f>
              <c:numCache>
                <c:formatCode>0%</c:formatCode>
                <c:ptCount val="16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详细分析!$BU$4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详细分析!$BV$4:$CK$4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详细分析!$BU$5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详细分析!$BV$5:$CK$5</c:f>
              <c:numCache>
                <c:formatCode>0%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详细分析!$BU$6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详细分析!$BV$6:$CK$6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详细分析!$BU$7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详细分析!$BV$7:$CK$7</c:f>
              <c:numCache>
                <c:formatCode>0%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详细分析!$BU$8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详细分析!$BV$8:$CK$8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  <c:pt idx="14">
                  <c:v>0.66666666666666663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详细分析!$BU$9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详细分析!$BV$9:$CK$9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详细分析!$BU$10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详细分析!$BV$10:$CK$10</c:f>
              <c:numCache>
                <c:formatCode>0%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详细分析!$BU$11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详细分析!$BV$11:$CK$11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详细分析!$BU$12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详细分析!$BV$12:$CK$12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详细分析!$BU$13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详细分析!$BV$13:$CK$13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详细分析!$BU$14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详细分析!$BV$14:$CK$14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详细分析!$BU$15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详细分析!$BV$15:$CK$15</c:f>
              <c:numCache>
                <c:formatCode>0%</c:formatCode>
                <c:ptCount val="16"/>
                <c:pt idx="0">
                  <c:v>0.33333333333333331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详细分析!$BU$16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详细分析!$BV$16:$CK$16</c:f>
              <c:numCache>
                <c:formatCode>0%</c:formatCode>
                <c:ptCount val="16"/>
                <c:pt idx="0">
                  <c:v>-1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0.66666666666666663</c:v>
                </c:pt>
                <c:pt idx="7">
                  <c:v>-1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详细分析!$BU$17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详细分析!$BV$17:$CK$17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6110624"/>
        <c:axId val="216111016"/>
      </c:lineChart>
      <c:catAx>
        <c:axId val="21611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111016"/>
        <c:crosses val="autoZero"/>
        <c:auto val="1"/>
        <c:lblAlgn val="ctr"/>
        <c:lblOffset val="100"/>
        <c:noMultiLvlLbl val="0"/>
      </c:catAx>
      <c:valAx>
        <c:axId val="2161110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21611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详细分析!$CM$2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详细分析!$CN$2:$DC$2</c:f>
              <c:numCache>
                <c:formatCode>0_ 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  <c:pt idx="14">
                  <c:v>-6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详细分析!$CM$3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详细分析!$CN$3:$DC$3</c:f>
              <c:numCache>
                <c:formatCode>0_ </c:formatCode>
                <c:ptCount val="16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-1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5.5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详细分析!$CM$4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详细分析!$CN$4:$DC$4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详细分析!$CM$5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详细分析!$CN$5:$DC$5</c:f>
              <c:numCache>
                <c:formatCode>0_ </c:formatCode>
                <c:ptCount val="16"/>
                <c:pt idx="0">
                  <c:v>1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6.666666666666667</c:v>
                </c:pt>
                <c:pt idx="8">
                  <c:v>-2.5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详细分析!$CM$6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详细分析!$CN$6:$DC$6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详细分析!$CM$7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详细分析!$CN$7:$DC$7</c:f>
              <c:numCache>
                <c:formatCode>0_ </c:formatCode>
                <c:ptCount val="16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详细分析!$CM$8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详细分析!$CN$8:$DC$8</c:f>
              <c:numCache>
                <c:formatCode>0_ 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-4.5</c:v>
                </c:pt>
                <c:pt idx="14">
                  <c:v>1.6666666666666667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详细分析!$CM$9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详细分析!$CN$9:$DC$9</c:f>
              <c:numCache>
                <c:formatCode>0_ 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0</c:v>
                </c:pt>
                <c:pt idx="3">
                  <c:v>6.666666666666667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详细分析!$CM$10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详细分析!$CN$10:$DC$10</c:f>
              <c:numCache>
                <c:formatCode>0_ 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详细分析!$CM$11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详细分析!$CN$11:$DC$11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详细分析!$CM$12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详细分析!$CN$12:$DC$12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详细分析!$CM$13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详细分析!$CN$13:$DC$13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详细分析!$CM$14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详细分析!$CN$14:$DC$14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详细分析!$CM$15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详细分析!$CN$15:$DC$15</c:f>
              <c:numCache>
                <c:formatCode>0_ </c:formatCode>
                <c:ptCount val="16"/>
                <c:pt idx="0">
                  <c:v>-3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-4.5</c:v>
                </c:pt>
                <c:pt idx="7">
                  <c:v>0</c:v>
                </c:pt>
                <c:pt idx="8">
                  <c:v>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详细分析!$CM$16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详细分析!$CN$16:$DC$16</c:f>
              <c:numCache>
                <c:formatCode>0_ </c:formatCode>
                <c:ptCount val="16"/>
                <c:pt idx="0">
                  <c:v>-6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1.6666666666666667</c:v>
                </c:pt>
                <c:pt idx="7">
                  <c:v>-8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-0.4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详细分析!$CM$17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详细分析!$CN$17:$DC$17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451768"/>
        <c:axId val="219452160"/>
      </c:lineChart>
      <c:catAx>
        <c:axId val="219451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452160"/>
        <c:crosses val="autoZero"/>
        <c:auto val="1"/>
        <c:lblAlgn val="ctr"/>
        <c:lblOffset val="100"/>
        <c:noMultiLvlLbl val="0"/>
      </c:catAx>
      <c:valAx>
        <c:axId val="2194521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21945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22</xdr:col>
      <xdr:colOff>350448</xdr:colOff>
      <xdr:row>51</xdr:row>
      <xdr:rowOff>35943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17</xdr:col>
      <xdr:colOff>19050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20</xdr:row>
      <xdr:rowOff>38100</xdr:rowOff>
    </xdr:from>
    <xdr:to>
      <xdr:col>35</xdr:col>
      <xdr:colOff>19050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33337</xdr:colOff>
      <xdr:row>20</xdr:row>
      <xdr:rowOff>38100</xdr:rowOff>
    </xdr:from>
    <xdr:to>
      <xdr:col>52</xdr:col>
      <xdr:colOff>381000</xdr:colOff>
      <xdr:row>46</xdr:row>
      <xdr:rowOff>66676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323849</xdr:colOff>
      <xdr:row>20</xdr:row>
      <xdr:rowOff>38100</xdr:rowOff>
    </xdr:from>
    <xdr:to>
      <xdr:col>70</xdr:col>
      <xdr:colOff>390524</xdr:colOff>
      <xdr:row>46</xdr:row>
      <xdr:rowOff>19050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361950</xdr:colOff>
      <xdr:row>20</xdr:row>
      <xdr:rowOff>28575</xdr:rowOff>
    </xdr:from>
    <xdr:to>
      <xdr:col>89</xdr:col>
      <xdr:colOff>0</xdr:colOff>
      <xdr:row>46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28575</xdr:colOff>
      <xdr:row>20</xdr:row>
      <xdr:rowOff>9524</xdr:rowOff>
    </xdr:from>
    <xdr:to>
      <xdr:col>107</xdr:col>
      <xdr:colOff>9525</xdr:colOff>
      <xdr:row>46</xdr:row>
      <xdr:rowOff>57149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0"/>
  <sheetViews>
    <sheetView zoomScale="106" zoomScaleNormal="106" workbookViewId="0">
      <selection activeCell="D1" sqref="D1:K1048576"/>
    </sheetView>
  </sheetViews>
  <sheetFormatPr defaultRowHeight="13.5" x14ac:dyDescent="0.15"/>
  <cols>
    <col min="1" max="1" width="10.125" style="7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5" t="s">
        <v>21</v>
      </c>
      <c r="B1" s="1">
        <f>COUNTA(A:A)</f>
        <v>17</v>
      </c>
      <c r="C1" s="1"/>
      <c r="D1" s="8" t="s">
        <v>22</v>
      </c>
      <c r="E1" s="5" t="s">
        <v>14</v>
      </c>
      <c r="F1" s="5" t="s">
        <v>15</v>
      </c>
      <c r="G1" s="5" t="s">
        <v>16</v>
      </c>
      <c r="H1" s="5" t="s">
        <v>19</v>
      </c>
      <c r="I1" s="5" t="s">
        <v>17</v>
      </c>
      <c r="J1" s="5" t="s">
        <v>18</v>
      </c>
      <c r="K1" s="5" t="s">
        <v>20</v>
      </c>
      <c r="X1" s="8" t="s">
        <v>23</v>
      </c>
      <c r="Y1" s="5" t="s">
        <v>14</v>
      </c>
      <c r="Z1" s="5" t="s">
        <v>15</v>
      </c>
      <c r="AA1" s="5" t="s">
        <v>16</v>
      </c>
      <c r="AB1" s="5" t="s">
        <v>19</v>
      </c>
      <c r="AC1" s="5" t="s">
        <v>17</v>
      </c>
      <c r="AD1" s="5" t="s">
        <v>18</v>
      </c>
      <c r="AE1" s="5" t="s">
        <v>20</v>
      </c>
    </row>
    <row r="2" spans="1:31" x14ac:dyDescent="0.15">
      <c r="A2" s="7" t="s">
        <v>1</v>
      </c>
      <c r="E2" s="3" t="s">
        <v>54</v>
      </c>
      <c r="F2" s="3">
        <v>3</v>
      </c>
      <c r="G2" s="3">
        <v>0</v>
      </c>
      <c r="H2" s="6">
        <f t="shared" ref="H2:H28" si="0">IF(AND(K2&gt;0, ISNUMBER(F2)), F2/K2, 0)</f>
        <v>1</v>
      </c>
      <c r="I2" s="3">
        <v>20</v>
      </c>
      <c r="J2" s="3">
        <v>0</v>
      </c>
      <c r="K2" s="3">
        <f t="shared" ref="K2:K28" si="1">F2+G2</f>
        <v>3</v>
      </c>
      <c r="Y2" s="3" t="s">
        <v>36</v>
      </c>
      <c r="Z2" s="3" t="s">
        <v>41</v>
      </c>
      <c r="AA2" s="3">
        <v>0</v>
      </c>
      <c r="AB2" s="6">
        <v>1</v>
      </c>
      <c r="AC2" s="3">
        <v>2</v>
      </c>
      <c r="AD2" s="3">
        <v>0</v>
      </c>
      <c r="AE2" s="3">
        <v>-3</v>
      </c>
    </row>
    <row r="3" spans="1:31" x14ac:dyDescent="0.15">
      <c r="A3" s="7" t="s">
        <v>2</v>
      </c>
      <c r="E3" s="3" t="s">
        <v>86</v>
      </c>
      <c r="F3" s="3">
        <v>2</v>
      </c>
      <c r="G3" s="3">
        <v>0</v>
      </c>
      <c r="H3" s="6">
        <f t="shared" si="0"/>
        <v>1</v>
      </c>
      <c r="I3" s="3">
        <v>12</v>
      </c>
      <c r="J3" s="3">
        <v>0</v>
      </c>
      <c r="K3" s="3">
        <f t="shared" si="1"/>
        <v>2</v>
      </c>
      <c r="Y3" s="3" t="s">
        <v>39</v>
      </c>
      <c r="Z3" s="3" t="s">
        <v>42</v>
      </c>
      <c r="AA3" s="3">
        <v>1</v>
      </c>
      <c r="AB3" s="6">
        <v>1</v>
      </c>
      <c r="AC3" s="3">
        <v>0</v>
      </c>
      <c r="AD3" s="3">
        <v>2</v>
      </c>
      <c r="AE3" s="3">
        <v>-9</v>
      </c>
    </row>
    <row r="4" spans="1:31" x14ac:dyDescent="0.15">
      <c r="A4" s="7" t="s">
        <v>3</v>
      </c>
      <c r="E4" s="3" t="s">
        <v>93</v>
      </c>
      <c r="F4" s="3">
        <v>2</v>
      </c>
      <c r="G4" s="3">
        <v>0</v>
      </c>
      <c r="H4" s="6">
        <f t="shared" si="0"/>
        <v>1</v>
      </c>
      <c r="I4" s="3">
        <v>11</v>
      </c>
      <c r="J4" s="3">
        <v>0</v>
      </c>
      <c r="K4" s="3">
        <f t="shared" si="1"/>
        <v>2</v>
      </c>
      <c r="Y4" s="3" t="s">
        <v>40</v>
      </c>
      <c r="Z4" s="3" t="s">
        <v>40</v>
      </c>
      <c r="AA4" s="3">
        <v>0</v>
      </c>
      <c r="AB4" s="6">
        <v>1</v>
      </c>
      <c r="AC4" s="3">
        <v>0</v>
      </c>
      <c r="AD4" s="3">
        <v>0</v>
      </c>
      <c r="AE4" s="3">
        <v>-2</v>
      </c>
    </row>
    <row r="5" spans="1:31" x14ac:dyDescent="0.15">
      <c r="A5" s="7" t="s">
        <v>4</v>
      </c>
      <c r="E5" s="3" t="s">
        <v>81</v>
      </c>
      <c r="F5" s="3">
        <v>2</v>
      </c>
      <c r="G5" s="3">
        <v>0</v>
      </c>
      <c r="H5" s="6">
        <f t="shared" si="0"/>
        <v>1</v>
      </c>
      <c r="I5" s="3">
        <v>10</v>
      </c>
      <c r="J5" s="3">
        <v>0</v>
      </c>
      <c r="K5" s="3">
        <f t="shared" si="1"/>
        <v>2</v>
      </c>
      <c r="Y5" s="3" t="s">
        <v>37</v>
      </c>
      <c r="Z5" s="3" t="s">
        <v>43</v>
      </c>
      <c r="AA5" s="3">
        <v>2</v>
      </c>
      <c r="AB5" s="6">
        <v>0</v>
      </c>
      <c r="AC5" s="3">
        <v>12</v>
      </c>
      <c r="AD5" s="3">
        <v>12</v>
      </c>
      <c r="AE5" s="3">
        <v>0</v>
      </c>
    </row>
    <row r="6" spans="1:31" x14ac:dyDescent="0.15">
      <c r="A6" s="7" t="s">
        <v>44</v>
      </c>
      <c r="E6" s="3" t="s">
        <v>83</v>
      </c>
      <c r="F6" s="3">
        <v>1</v>
      </c>
      <c r="G6" s="3">
        <v>0</v>
      </c>
      <c r="H6" s="6">
        <f t="shared" si="0"/>
        <v>1</v>
      </c>
      <c r="I6" s="3">
        <v>8</v>
      </c>
      <c r="J6" s="3">
        <v>0</v>
      </c>
      <c r="K6" s="3">
        <f t="shared" si="1"/>
        <v>1</v>
      </c>
      <c r="AB6" s="6"/>
    </row>
    <row r="7" spans="1:31" x14ac:dyDescent="0.15">
      <c r="A7" s="7" t="s">
        <v>45</v>
      </c>
      <c r="E7" s="3" t="s">
        <v>60</v>
      </c>
      <c r="F7" s="3">
        <v>1</v>
      </c>
      <c r="G7" s="3">
        <v>0</v>
      </c>
      <c r="H7" s="6">
        <f t="shared" si="0"/>
        <v>1</v>
      </c>
      <c r="I7" s="3">
        <v>8</v>
      </c>
      <c r="J7" s="3">
        <v>0</v>
      </c>
      <c r="K7" s="3">
        <f t="shared" si="1"/>
        <v>1</v>
      </c>
      <c r="AB7" s="6">
        <f t="shared" ref="AB7:AB26" si="2">IF(AND(AE7&gt;0, ISNUMBER(Z7)), Z7/AE7, 0)</f>
        <v>0</v>
      </c>
      <c r="AE7" s="3">
        <f t="shared" ref="AE7:AE26" si="3">Z7+AA7</f>
        <v>0</v>
      </c>
    </row>
    <row r="8" spans="1:31" x14ac:dyDescent="0.15">
      <c r="A8" s="7" t="s">
        <v>46</v>
      </c>
      <c r="E8" s="3" t="s">
        <v>58</v>
      </c>
      <c r="F8" s="3">
        <v>1</v>
      </c>
      <c r="G8" s="3">
        <v>0</v>
      </c>
      <c r="H8" s="6">
        <f t="shared" si="0"/>
        <v>1</v>
      </c>
      <c r="I8" s="3">
        <v>8</v>
      </c>
      <c r="J8" s="3">
        <v>0</v>
      </c>
      <c r="K8" s="3">
        <f t="shared" si="1"/>
        <v>1</v>
      </c>
      <c r="AB8" s="6">
        <f t="shared" si="2"/>
        <v>0</v>
      </c>
      <c r="AE8" s="3">
        <f t="shared" si="3"/>
        <v>0</v>
      </c>
    </row>
    <row r="9" spans="1:31" x14ac:dyDescent="0.15">
      <c r="A9" s="7" t="s">
        <v>32</v>
      </c>
      <c r="E9" s="3" t="s">
        <v>94</v>
      </c>
      <c r="F9" s="3">
        <v>1</v>
      </c>
      <c r="G9" s="3">
        <v>0</v>
      </c>
      <c r="H9" s="6">
        <f t="shared" si="0"/>
        <v>1</v>
      </c>
      <c r="I9" s="3">
        <v>6</v>
      </c>
      <c r="J9" s="3">
        <v>0</v>
      </c>
      <c r="K9" s="3">
        <f t="shared" si="1"/>
        <v>1</v>
      </c>
      <c r="AB9" s="6">
        <f t="shared" si="2"/>
        <v>0</v>
      </c>
      <c r="AE9" s="3">
        <f t="shared" si="3"/>
        <v>0</v>
      </c>
    </row>
    <row r="10" spans="1:31" x14ac:dyDescent="0.15">
      <c r="A10" s="7" t="s">
        <v>5</v>
      </c>
      <c r="E10" s="3" t="s">
        <v>96</v>
      </c>
      <c r="F10" s="3">
        <v>1</v>
      </c>
      <c r="G10" s="3">
        <v>0</v>
      </c>
      <c r="H10" s="6">
        <f t="shared" si="0"/>
        <v>1</v>
      </c>
      <c r="I10" s="3">
        <v>6</v>
      </c>
      <c r="J10" s="3">
        <v>0</v>
      </c>
      <c r="K10" s="3">
        <f t="shared" si="1"/>
        <v>1</v>
      </c>
      <c r="AB10" s="6">
        <f t="shared" si="2"/>
        <v>0</v>
      </c>
      <c r="AE10" s="3">
        <f t="shared" si="3"/>
        <v>0</v>
      </c>
    </row>
    <row r="11" spans="1:31" x14ac:dyDescent="0.15">
      <c r="A11" s="7" t="s">
        <v>6</v>
      </c>
      <c r="E11" s="3" t="s">
        <v>57</v>
      </c>
      <c r="F11" s="3">
        <v>1</v>
      </c>
      <c r="G11" s="3">
        <v>0</v>
      </c>
      <c r="H11" s="6">
        <f t="shared" si="0"/>
        <v>1</v>
      </c>
      <c r="I11" s="3">
        <v>4</v>
      </c>
      <c r="J11" s="3">
        <v>0</v>
      </c>
      <c r="K11" s="3">
        <f t="shared" si="1"/>
        <v>1</v>
      </c>
      <c r="AB11" s="6">
        <f t="shared" si="2"/>
        <v>0</v>
      </c>
      <c r="AE11" s="3">
        <f t="shared" si="3"/>
        <v>0</v>
      </c>
    </row>
    <row r="12" spans="1:31" x14ac:dyDescent="0.15">
      <c r="A12" s="7" t="s">
        <v>7</v>
      </c>
      <c r="E12" s="3" t="s">
        <v>92</v>
      </c>
      <c r="F12" s="3">
        <v>2</v>
      </c>
      <c r="G12" s="3">
        <v>1</v>
      </c>
      <c r="H12" s="6">
        <f t="shared" si="0"/>
        <v>0.66666666666666663</v>
      </c>
      <c r="I12" s="3">
        <v>8</v>
      </c>
      <c r="J12" s="3">
        <v>-3</v>
      </c>
      <c r="K12" s="3">
        <f t="shared" si="1"/>
        <v>3</v>
      </c>
      <c r="AB12" s="6">
        <f t="shared" si="2"/>
        <v>0</v>
      </c>
      <c r="AE12" s="3">
        <f t="shared" si="3"/>
        <v>0</v>
      </c>
    </row>
    <row r="13" spans="1:31" x14ac:dyDescent="0.15">
      <c r="A13" s="7" t="s">
        <v>11</v>
      </c>
      <c r="E13" s="3" t="s">
        <v>95</v>
      </c>
      <c r="F13" s="3">
        <v>1</v>
      </c>
      <c r="G13" s="3">
        <v>1</v>
      </c>
      <c r="H13" s="6">
        <f t="shared" si="0"/>
        <v>0.5</v>
      </c>
      <c r="I13" s="3">
        <v>7</v>
      </c>
      <c r="J13" s="3">
        <v>-6</v>
      </c>
      <c r="K13" s="3">
        <f t="shared" si="1"/>
        <v>2</v>
      </c>
      <c r="AB13" s="6">
        <f t="shared" si="2"/>
        <v>0</v>
      </c>
      <c r="AE13" s="3">
        <f t="shared" si="3"/>
        <v>0</v>
      </c>
    </row>
    <row r="14" spans="1:31" x14ac:dyDescent="0.15">
      <c r="A14" s="7" t="s">
        <v>47</v>
      </c>
      <c r="E14" s="3" t="s">
        <v>84</v>
      </c>
      <c r="F14" s="3">
        <v>1</v>
      </c>
      <c r="G14" s="3">
        <v>1</v>
      </c>
      <c r="H14" s="6">
        <f t="shared" si="0"/>
        <v>0.5</v>
      </c>
      <c r="I14" s="3">
        <v>6</v>
      </c>
      <c r="J14" s="3">
        <v>-4</v>
      </c>
      <c r="K14" s="3">
        <f t="shared" si="1"/>
        <v>2</v>
      </c>
      <c r="AB14" s="6">
        <f t="shared" si="2"/>
        <v>0</v>
      </c>
      <c r="AE14" s="3">
        <f t="shared" si="3"/>
        <v>0</v>
      </c>
    </row>
    <row r="15" spans="1:31" x14ac:dyDescent="0.15">
      <c r="A15" s="7" t="s">
        <v>48</v>
      </c>
      <c r="E15" s="3" t="s">
        <v>97</v>
      </c>
      <c r="F15" s="3">
        <v>1</v>
      </c>
      <c r="G15" s="3">
        <v>1</v>
      </c>
      <c r="H15" s="6">
        <f t="shared" si="0"/>
        <v>0.5</v>
      </c>
      <c r="I15" s="3">
        <v>5</v>
      </c>
      <c r="J15" s="3">
        <v>-7</v>
      </c>
      <c r="K15" s="3">
        <f t="shared" si="1"/>
        <v>2</v>
      </c>
      <c r="AB15" s="6">
        <f t="shared" si="2"/>
        <v>0</v>
      </c>
      <c r="AE15" s="3">
        <f t="shared" si="3"/>
        <v>0</v>
      </c>
    </row>
    <row r="16" spans="1:31" x14ac:dyDescent="0.15">
      <c r="A16" s="7" t="s">
        <v>30</v>
      </c>
      <c r="E16" s="3" t="s">
        <v>49</v>
      </c>
      <c r="F16" s="3">
        <v>1</v>
      </c>
      <c r="G16" s="3">
        <v>1</v>
      </c>
      <c r="H16" s="6">
        <f t="shared" si="0"/>
        <v>0.5</v>
      </c>
      <c r="I16" s="3">
        <v>2</v>
      </c>
      <c r="J16" s="3">
        <v>-6</v>
      </c>
      <c r="K16" s="3">
        <f t="shared" si="1"/>
        <v>2</v>
      </c>
      <c r="AB16" s="6">
        <f t="shared" si="2"/>
        <v>0</v>
      </c>
      <c r="AE16" s="3">
        <f t="shared" si="3"/>
        <v>0</v>
      </c>
    </row>
    <row r="17" spans="1:31" x14ac:dyDescent="0.15">
      <c r="A17" s="7" t="s">
        <v>38</v>
      </c>
      <c r="E17" s="3" t="s">
        <v>85</v>
      </c>
      <c r="F17" s="3">
        <v>2</v>
      </c>
      <c r="G17" s="3">
        <v>3</v>
      </c>
      <c r="H17" s="6">
        <f t="shared" si="0"/>
        <v>0.4</v>
      </c>
      <c r="I17" s="3">
        <v>12</v>
      </c>
      <c r="J17" s="3">
        <v>-14</v>
      </c>
      <c r="K17" s="3">
        <f t="shared" si="1"/>
        <v>5</v>
      </c>
      <c r="AB17" s="6">
        <f t="shared" si="2"/>
        <v>0</v>
      </c>
      <c r="AE17" s="3">
        <f t="shared" si="3"/>
        <v>0</v>
      </c>
    </row>
    <row r="18" spans="1:31" x14ac:dyDescent="0.15">
      <c r="E18" s="3" t="s">
        <v>89</v>
      </c>
      <c r="F18" s="3">
        <v>1</v>
      </c>
      <c r="G18" s="3">
        <v>2</v>
      </c>
      <c r="H18" s="6">
        <f t="shared" si="0"/>
        <v>0.33333333333333331</v>
      </c>
      <c r="I18" s="3">
        <v>3</v>
      </c>
      <c r="J18" s="3">
        <v>-12</v>
      </c>
      <c r="K18" s="3">
        <f t="shared" si="1"/>
        <v>3</v>
      </c>
      <c r="AB18" s="6">
        <f t="shared" si="2"/>
        <v>0</v>
      </c>
      <c r="AE18" s="3">
        <f t="shared" si="3"/>
        <v>0</v>
      </c>
    </row>
    <row r="19" spans="1:31" x14ac:dyDescent="0.15">
      <c r="E19" s="3" t="s">
        <v>56</v>
      </c>
      <c r="F19" s="3">
        <v>1</v>
      </c>
      <c r="G19" s="3">
        <v>3</v>
      </c>
      <c r="H19" s="6">
        <f t="shared" si="0"/>
        <v>0.25</v>
      </c>
      <c r="I19" s="3">
        <v>2</v>
      </c>
      <c r="J19" s="3">
        <v>-12</v>
      </c>
      <c r="K19" s="3">
        <f t="shared" si="1"/>
        <v>4</v>
      </c>
      <c r="AB19" s="6">
        <f t="shared" si="2"/>
        <v>0</v>
      </c>
      <c r="AE19" s="3">
        <f t="shared" si="3"/>
        <v>0</v>
      </c>
    </row>
    <row r="20" spans="1:31" x14ac:dyDescent="0.15">
      <c r="E20" s="3" t="s">
        <v>82</v>
      </c>
      <c r="F20" s="3">
        <v>0</v>
      </c>
      <c r="G20" s="3">
        <v>2</v>
      </c>
      <c r="H20" s="6">
        <f t="shared" si="0"/>
        <v>0</v>
      </c>
      <c r="I20" s="3">
        <v>0</v>
      </c>
      <c r="J20" s="3">
        <v>-9</v>
      </c>
      <c r="K20" s="3">
        <f t="shared" si="1"/>
        <v>2</v>
      </c>
      <c r="AB20" s="6">
        <f t="shared" si="2"/>
        <v>0</v>
      </c>
      <c r="AE20" s="3">
        <f t="shared" si="3"/>
        <v>0</v>
      </c>
    </row>
    <row r="21" spans="1:31" x14ac:dyDescent="0.15">
      <c r="E21" s="3" t="s">
        <v>50</v>
      </c>
      <c r="F21" s="3">
        <v>0</v>
      </c>
      <c r="G21" s="3">
        <v>1</v>
      </c>
      <c r="H21" s="6">
        <f t="shared" si="0"/>
        <v>0</v>
      </c>
      <c r="I21" s="3">
        <v>0</v>
      </c>
      <c r="J21" s="3">
        <v>-8</v>
      </c>
      <c r="K21" s="3">
        <f t="shared" si="1"/>
        <v>1</v>
      </c>
      <c r="AB21" s="6">
        <f t="shared" si="2"/>
        <v>0</v>
      </c>
      <c r="AE21" s="3">
        <f t="shared" si="3"/>
        <v>0</v>
      </c>
    </row>
    <row r="22" spans="1:31" x14ac:dyDescent="0.15">
      <c r="E22" s="3" t="s">
        <v>51</v>
      </c>
      <c r="F22" s="3">
        <v>0</v>
      </c>
      <c r="G22" s="3">
        <v>1</v>
      </c>
      <c r="H22" s="6">
        <f t="shared" si="0"/>
        <v>0</v>
      </c>
      <c r="I22" s="3">
        <v>0</v>
      </c>
      <c r="J22" s="3">
        <v>-8</v>
      </c>
      <c r="K22" s="3">
        <f t="shared" si="1"/>
        <v>1</v>
      </c>
      <c r="AB22" s="6">
        <f t="shared" si="2"/>
        <v>0</v>
      </c>
      <c r="AE22" s="3">
        <f t="shared" si="3"/>
        <v>0</v>
      </c>
    </row>
    <row r="23" spans="1:31" x14ac:dyDescent="0.15">
      <c r="E23" s="3" t="s">
        <v>52</v>
      </c>
      <c r="F23" s="3">
        <v>0</v>
      </c>
      <c r="G23" s="3">
        <v>2</v>
      </c>
      <c r="H23" s="6">
        <f t="shared" si="0"/>
        <v>0</v>
      </c>
      <c r="I23" s="3">
        <v>0</v>
      </c>
      <c r="J23" s="3">
        <v>-12</v>
      </c>
      <c r="K23" s="3">
        <f t="shared" si="1"/>
        <v>2</v>
      </c>
      <c r="AB23" s="6">
        <f t="shared" si="2"/>
        <v>0</v>
      </c>
      <c r="AE23" s="3">
        <f t="shared" si="3"/>
        <v>0</v>
      </c>
    </row>
    <row r="24" spans="1:31" x14ac:dyDescent="0.15">
      <c r="E24" s="3" t="s">
        <v>53</v>
      </c>
      <c r="F24" s="3">
        <v>0</v>
      </c>
      <c r="G24" s="3">
        <v>2</v>
      </c>
      <c r="H24" s="6">
        <f t="shared" si="0"/>
        <v>0</v>
      </c>
      <c r="I24" s="3">
        <v>0</v>
      </c>
      <c r="J24" s="3">
        <v>-8</v>
      </c>
      <c r="K24" s="3">
        <f t="shared" si="1"/>
        <v>2</v>
      </c>
      <c r="AB24" s="6">
        <f t="shared" si="2"/>
        <v>0</v>
      </c>
      <c r="AE24" s="3">
        <f t="shared" si="3"/>
        <v>0</v>
      </c>
    </row>
    <row r="25" spans="1:31" x14ac:dyDescent="0.15">
      <c r="E25" s="3" t="s">
        <v>55</v>
      </c>
      <c r="F25" s="3">
        <v>0</v>
      </c>
      <c r="G25" s="3">
        <v>1</v>
      </c>
      <c r="H25" s="6">
        <f t="shared" si="0"/>
        <v>0</v>
      </c>
      <c r="I25" s="3">
        <v>0</v>
      </c>
      <c r="J25" s="3">
        <v>-5</v>
      </c>
      <c r="K25" s="3">
        <f t="shared" si="1"/>
        <v>1</v>
      </c>
      <c r="AB25" s="6">
        <f t="shared" si="2"/>
        <v>0</v>
      </c>
      <c r="AE25" s="3">
        <f t="shared" si="3"/>
        <v>0</v>
      </c>
    </row>
    <row r="26" spans="1:31" x14ac:dyDescent="0.15">
      <c r="E26" s="3" t="s">
        <v>87</v>
      </c>
      <c r="F26" s="3">
        <v>0</v>
      </c>
      <c r="G26" s="3">
        <v>1</v>
      </c>
      <c r="H26" s="6">
        <f t="shared" si="0"/>
        <v>0</v>
      </c>
      <c r="I26" s="3">
        <v>0</v>
      </c>
      <c r="J26" s="3">
        <v>-3</v>
      </c>
      <c r="K26" s="3">
        <f t="shared" si="1"/>
        <v>1</v>
      </c>
      <c r="AB26" s="6">
        <f t="shared" si="2"/>
        <v>0</v>
      </c>
      <c r="AE26" s="3">
        <f t="shared" si="3"/>
        <v>0</v>
      </c>
    </row>
    <row r="27" spans="1:31" x14ac:dyDescent="0.15">
      <c r="E27" s="3" t="s">
        <v>88</v>
      </c>
      <c r="F27" s="3">
        <v>0</v>
      </c>
      <c r="G27" s="3">
        <v>1</v>
      </c>
      <c r="H27" s="6">
        <f t="shared" si="0"/>
        <v>0</v>
      </c>
      <c r="I27" s="3">
        <v>0</v>
      </c>
      <c r="J27" s="3">
        <v>-13</v>
      </c>
      <c r="K27" s="3">
        <f t="shared" si="1"/>
        <v>1</v>
      </c>
      <c r="AB27" s="6"/>
    </row>
    <row r="28" spans="1:31" x14ac:dyDescent="0.15">
      <c r="E28" s="3" t="s">
        <v>59</v>
      </c>
      <c r="F28" s="3">
        <v>0</v>
      </c>
      <c r="G28" s="3">
        <v>1</v>
      </c>
      <c r="H28" s="6">
        <f t="shared" si="0"/>
        <v>0</v>
      </c>
      <c r="I28" s="3">
        <v>0</v>
      </c>
      <c r="J28" s="3">
        <v>-8</v>
      </c>
      <c r="K28" s="3">
        <f t="shared" si="1"/>
        <v>1</v>
      </c>
      <c r="AB28" s="6"/>
    </row>
    <row r="29" spans="1:31" x14ac:dyDescent="0.15">
      <c r="H29" s="6">
        <f t="shared" ref="H29:H36" si="4">IF(AND(K29&gt;0, ISNUMBER(F29)), F29/K29, 0)</f>
        <v>0</v>
      </c>
      <c r="K29" s="3">
        <f t="shared" ref="K29:K36" si="5">F29+G29</f>
        <v>0</v>
      </c>
      <c r="AB29" s="6"/>
    </row>
    <row r="30" spans="1:31" x14ac:dyDescent="0.15">
      <c r="H30" s="6">
        <f t="shared" si="4"/>
        <v>0</v>
      </c>
      <c r="K30" s="3">
        <f t="shared" si="5"/>
        <v>0</v>
      </c>
      <c r="AB30" s="6"/>
    </row>
    <row r="31" spans="1:31" x14ac:dyDescent="0.15">
      <c r="H31" s="6">
        <f t="shared" si="4"/>
        <v>0</v>
      </c>
      <c r="K31" s="3">
        <f t="shared" si="5"/>
        <v>0</v>
      </c>
      <c r="AB31" s="6"/>
    </row>
    <row r="32" spans="1:31" x14ac:dyDescent="0.15">
      <c r="H32" s="6">
        <f t="shared" si="4"/>
        <v>0</v>
      </c>
      <c r="K32" s="3">
        <f t="shared" si="5"/>
        <v>0</v>
      </c>
      <c r="AB32" s="6"/>
    </row>
    <row r="33" spans="8:28" x14ac:dyDescent="0.15">
      <c r="H33" s="6">
        <f t="shared" si="4"/>
        <v>0</v>
      </c>
      <c r="K33" s="3">
        <f t="shared" si="5"/>
        <v>0</v>
      </c>
      <c r="AB33" s="6"/>
    </row>
    <row r="34" spans="8:28" x14ac:dyDescent="0.15">
      <c r="H34" s="6">
        <f t="shared" si="4"/>
        <v>0</v>
      </c>
      <c r="K34" s="3">
        <f t="shared" si="5"/>
        <v>0</v>
      </c>
      <c r="AB34" s="6"/>
    </row>
    <row r="35" spans="8:28" x14ac:dyDescent="0.15">
      <c r="H35" s="6">
        <f t="shared" si="4"/>
        <v>0</v>
      </c>
      <c r="K35" s="3">
        <f t="shared" si="5"/>
        <v>0</v>
      </c>
      <c r="AB35" s="6"/>
    </row>
    <row r="36" spans="8:28" x14ac:dyDescent="0.15">
      <c r="H36" s="6">
        <f t="shared" si="4"/>
        <v>0</v>
      </c>
      <c r="K36" s="3">
        <f t="shared" si="5"/>
        <v>0</v>
      </c>
      <c r="AB36" s="6"/>
    </row>
    <row r="37" spans="8:28" x14ac:dyDescent="0.15">
      <c r="AB37" s="6"/>
    </row>
    <row r="38" spans="8:28" x14ac:dyDescent="0.15">
      <c r="AB38" s="6"/>
    </row>
    <row r="39" spans="8:28" x14ac:dyDescent="0.15">
      <c r="AB39" s="6"/>
    </row>
    <row r="40" spans="8:28" x14ac:dyDescent="0.15">
      <c r="AB40" s="6"/>
    </row>
    <row r="41" spans="8:28" x14ac:dyDescent="0.15">
      <c r="AB41" s="6"/>
    </row>
    <row r="42" spans="8:28" x14ac:dyDescent="0.15">
      <c r="AB42" s="6"/>
    </row>
    <row r="43" spans="8:28" x14ac:dyDescent="0.15">
      <c r="AB43" s="6"/>
    </row>
    <row r="44" spans="8:28" x14ac:dyDescent="0.15">
      <c r="AB44" s="6"/>
    </row>
    <row r="45" spans="8:28" x14ac:dyDescent="0.15">
      <c r="AB45" s="6"/>
    </row>
    <row r="46" spans="8:28" x14ac:dyDescent="0.15">
      <c r="AB46" s="6"/>
    </row>
    <row r="47" spans="8:28" x14ac:dyDescent="0.15">
      <c r="AB47" s="6"/>
    </row>
    <row r="48" spans="8:28" x14ac:dyDescent="0.15">
      <c r="AB48" s="6"/>
    </row>
    <row r="49" spans="28:28" x14ac:dyDescent="0.15">
      <c r="AB49" s="6"/>
    </row>
    <row r="50" spans="28:28" x14ac:dyDescent="0.15">
      <c r="AB50" s="6"/>
    </row>
  </sheetData>
  <sortState ref="D2:K28">
    <sortCondition descending="1" ref="H2:H28"/>
    <sortCondition descending="1" ref="F2:F28"/>
    <sortCondition descending="1" ref="I2:I28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6"/>
  <sheetViews>
    <sheetView workbookViewId="0">
      <selection activeCell="I17" sqref="I17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2" t="s">
        <v>0</v>
      </c>
      <c r="B1" s="13" t="s">
        <v>12</v>
      </c>
      <c r="C1" s="13"/>
      <c r="D1" s="13" t="s">
        <v>13</v>
      </c>
      <c r="E1" s="13"/>
      <c r="F1" s="2" t="s">
        <v>8</v>
      </c>
      <c r="L1" s="5"/>
      <c r="M1" s="5"/>
      <c r="N1" s="5"/>
      <c r="O1" s="5"/>
      <c r="P1" s="5"/>
      <c r="Q1" s="5"/>
    </row>
    <row r="2" spans="1:17" x14ac:dyDescent="0.15">
      <c r="A2" s="4">
        <f ca="1">TODAY()</f>
        <v>42077</v>
      </c>
      <c r="B2" s="3" t="s">
        <v>28</v>
      </c>
      <c r="C2" s="3" t="s">
        <v>29</v>
      </c>
      <c r="D2" s="3" t="s">
        <v>24</v>
      </c>
      <c r="E2" s="3" t="s">
        <v>27</v>
      </c>
      <c r="F2" s="3">
        <v>5</v>
      </c>
      <c r="L2" s="3"/>
      <c r="M2" s="3"/>
      <c r="N2" s="3"/>
      <c r="O2" s="6"/>
      <c r="P2" s="3"/>
      <c r="Q2" s="3"/>
    </row>
    <row r="3" spans="1:17" x14ac:dyDescent="0.15">
      <c r="A3" s="4">
        <f t="shared" ref="A3:A26" ca="1" si="0">TODAY()</f>
        <v>42077</v>
      </c>
      <c r="B3" s="3" t="s">
        <v>31</v>
      </c>
      <c r="C3" s="3" t="s">
        <v>24</v>
      </c>
      <c r="D3" s="3" t="s">
        <v>28</v>
      </c>
      <c r="E3" s="3" t="s">
        <v>29</v>
      </c>
      <c r="F3" s="3">
        <v>3</v>
      </c>
      <c r="L3" s="3"/>
      <c r="M3" s="3"/>
      <c r="N3" s="3"/>
      <c r="O3" s="6"/>
      <c r="P3" s="3"/>
      <c r="Q3" s="3"/>
    </row>
    <row r="4" spans="1:17" x14ac:dyDescent="0.15">
      <c r="A4" s="4">
        <f t="shared" ca="1" si="0"/>
        <v>42077</v>
      </c>
      <c r="B4" s="3" t="s">
        <v>31</v>
      </c>
      <c r="C4" s="3" t="s">
        <v>24</v>
      </c>
      <c r="D4" s="3" t="s">
        <v>28</v>
      </c>
      <c r="E4" s="3" t="s">
        <v>27</v>
      </c>
      <c r="F4" s="3">
        <v>7</v>
      </c>
      <c r="L4" s="3"/>
      <c r="M4" s="3"/>
      <c r="N4" s="3"/>
      <c r="O4" s="6"/>
      <c r="P4" s="3"/>
      <c r="Q4" s="3"/>
    </row>
    <row r="5" spans="1:17" x14ac:dyDescent="0.15">
      <c r="A5" s="4">
        <f t="shared" ca="1" si="0"/>
        <v>42077</v>
      </c>
      <c r="B5" s="3" t="s">
        <v>28</v>
      </c>
      <c r="C5" s="3" t="s">
        <v>24</v>
      </c>
      <c r="D5" s="3" t="s">
        <v>25</v>
      </c>
      <c r="E5" s="3" t="s">
        <v>27</v>
      </c>
      <c r="F5" s="3">
        <v>8</v>
      </c>
      <c r="L5" s="3"/>
      <c r="M5" s="3"/>
      <c r="N5" s="3"/>
      <c r="O5" s="6"/>
      <c r="P5" s="3"/>
      <c r="Q5" s="3"/>
    </row>
    <row r="6" spans="1:17" x14ac:dyDescent="0.15">
      <c r="A6" s="4">
        <f t="shared" ca="1" si="0"/>
        <v>42077</v>
      </c>
      <c r="B6" s="3" t="s">
        <v>25</v>
      </c>
      <c r="C6" s="3" t="s">
        <v>28</v>
      </c>
      <c r="D6" s="3" t="s">
        <v>31</v>
      </c>
      <c r="E6" s="3" t="s">
        <v>29</v>
      </c>
      <c r="F6" s="3">
        <v>8</v>
      </c>
      <c r="L6" s="3"/>
      <c r="M6" s="3"/>
      <c r="N6" s="3"/>
      <c r="O6" s="6"/>
      <c r="P6" s="3"/>
      <c r="Q6" s="3"/>
    </row>
    <row r="7" spans="1:17" x14ac:dyDescent="0.15">
      <c r="A7" s="4">
        <f t="shared" ca="1" si="0"/>
        <v>42077</v>
      </c>
      <c r="B7" s="3" t="s">
        <v>25</v>
      </c>
      <c r="C7" s="3" t="s">
        <v>29</v>
      </c>
      <c r="D7" s="3" t="s">
        <v>24</v>
      </c>
      <c r="E7" s="3" t="s">
        <v>27</v>
      </c>
      <c r="F7" s="3">
        <v>7</v>
      </c>
      <c r="L7" s="3"/>
      <c r="M7" s="3"/>
      <c r="N7" s="3"/>
      <c r="O7" s="6"/>
      <c r="P7" s="3"/>
      <c r="Q7" s="3"/>
    </row>
    <row r="8" spans="1:17" x14ac:dyDescent="0.15">
      <c r="A8" s="4">
        <f t="shared" ca="1" si="0"/>
        <v>42077</v>
      </c>
      <c r="B8" s="3" t="s">
        <v>31</v>
      </c>
      <c r="C8" s="3" t="s">
        <v>28</v>
      </c>
      <c r="D8" s="3" t="s">
        <v>24</v>
      </c>
      <c r="E8" s="3" t="s">
        <v>29</v>
      </c>
      <c r="F8" s="3">
        <v>2</v>
      </c>
      <c r="L8" s="3"/>
      <c r="M8" s="3"/>
      <c r="N8" s="3"/>
      <c r="O8" s="6"/>
      <c r="P8" s="3"/>
      <c r="Q8" s="3"/>
    </row>
    <row r="9" spans="1:17" x14ac:dyDescent="0.15">
      <c r="A9" s="4">
        <f t="shared" ca="1" si="0"/>
        <v>42077</v>
      </c>
      <c r="B9" s="3" t="s">
        <v>25</v>
      </c>
      <c r="C9" s="3" t="s">
        <v>33</v>
      </c>
      <c r="D9" s="3" t="s">
        <v>28</v>
      </c>
      <c r="E9" s="3" t="s">
        <v>31</v>
      </c>
      <c r="F9" s="3">
        <v>6</v>
      </c>
      <c r="L9" s="3"/>
      <c r="M9" s="3"/>
      <c r="N9" s="3"/>
      <c r="O9" s="6"/>
      <c r="P9" s="3"/>
      <c r="Q9" s="3"/>
    </row>
    <row r="10" spans="1:17" x14ac:dyDescent="0.15">
      <c r="A10" s="4">
        <f t="shared" ca="1" si="0"/>
        <v>42077</v>
      </c>
      <c r="B10" s="3" t="s">
        <v>24</v>
      </c>
      <c r="C10" s="3" t="s">
        <v>33</v>
      </c>
      <c r="D10" s="3" t="s">
        <v>34</v>
      </c>
      <c r="E10" s="3" t="s">
        <v>27</v>
      </c>
      <c r="F10" s="3">
        <v>6</v>
      </c>
      <c r="L10" s="3"/>
      <c r="M10" s="3"/>
      <c r="N10" s="3"/>
      <c r="O10" s="6"/>
      <c r="P10" s="3"/>
      <c r="Q10" s="3"/>
    </row>
    <row r="11" spans="1:17" x14ac:dyDescent="0.15">
      <c r="A11" s="4">
        <f t="shared" ca="1" si="0"/>
        <v>42077</v>
      </c>
      <c r="B11" s="3" t="s">
        <v>31</v>
      </c>
      <c r="C11" s="3" t="s">
        <v>33</v>
      </c>
      <c r="D11" s="3" t="s">
        <v>34</v>
      </c>
      <c r="E11" s="3" t="s">
        <v>28</v>
      </c>
      <c r="F11" s="3">
        <v>5</v>
      </c>
      <c r="L11" s="3"/>
      <c r="M11" s="3"/>
      <c r="N11" s="3"/>
      <c r="O11" s="6"/>
      <c r="P11" s="3"/>
      <c r="Q11" s="3"/>
    </row>
    <row r="12" spans="1:17" x14ac:dyDescent="0.15">
      <c r="A12" s="4">
        <f t="shared" ca="1" si="0"/>
        <v>42077</v>
      </c>
      <c r="B12" s="3" t="s">
        <v>25</v>
      </c>
      <c r="C12" s="3" t="s">
        <v>24</v>
      </c>
      <c r="D12" s="3" t="s">
        <v>29</v>
      </c>
      <c r="E12" s="3" t="s">
        <v>26</v>
      </c>
      <c r="F12" s="3">
        <v>7</v>
      </c>
      <c r="L12" s="3"/>
      <c r="M12" s="3"/>
      <c r="N12" s="3"/>
      <c r="O12" s="6"/>
      <c r="P12" s="3"/>
      <c r="Q12" s="3"/>
    </row>
    <row r="13" spans="1:17" x14ac:dyDescent="0.15">
      <c r="A13" s="4">
        <f t="shared" ca="1" si="0"/>
        <v>42077</v>
      </c>
      <c r="B13" s="3" t="s">
        <v>31</v>
      </c>
      <c r="C13" s="3" t="s">
        <v>33</v>
      </c>
      <c r="D13" s="3" t="s">
        <v>34</v>
      </c>
      <c r="E13" s="3" t="s">
        <v>27</v>
      </c>
      <c r="F13" s="3">
        <v>2</v>
      </c>
      <c r="L13" s="3"/>
      <c r="M13" s="3"/>
      <c r="N13" s="3"/>
      <c r="O13" s="6"/>
      <c r="P13" s="3"/>
      <c r="Q13" s="3"/>
    </row>
    <row r="14" spans="1:17" x14ac:dyDescent="0.15">
      <c r="A14" s="4">
        <f t="shared" ca="1" si="0"/>
        <v>42077</v>
      </c>
      <c r="B14" s="3" t="s">
        <v>31</v>
      </c>
      <c r="C14" s="3" t="s">
        <v>25</v>
      </c>
      <c r="D14" s="3" t="s">
        <v>29</v>
      </c>
      <c r="E14" s="3" t="s">
        <v>24</v>
      </c>
      <c r="F14" s="3">
        <v>10</v>
      </c>
      <c r="L14" s="3"/>
      <c r="M14" s="3"/>
      <c r="N14" s="3"/>
      <c r="O14" s="6"/>
      <c r="P14" s="3"/>
      <c r="Q14" s="3"/>
    </row>
    <row r="15" spans="1:17" x14ac:dyDescent="0.15">
      <c r="A15" s="4">
        <f t="shared" ca="1" si="0"/>
        <v>42077</v>
      </c>
      <c r="B15" s="3" t="s">
        <v>34</v>
      </c>
      <c r="C15" s="3" t="s">
        <v>33</v>
      </c>
      <c r="D15" s="3" t="s">
        <v>28</v>
      </c>
      <c r="E15" s="3" t="s">
        <v>27</v>
      </c>
      <c r="F15" s="3">
        <v>2</v>
      </c>
      <c r="L15" s="3"/>
      <c r="M15" s="3"/>
      <c r="N15" s="3"/>
      <c r="O15" s="6"/>
      <c r="P15" s="3"/>
      <c r="Q15" s="3"/>
    </row>
    <row r="16" spans="1:17" x14ac:dyDescent="0.15">
      <c r="A16" s="4">
        <f t="shared" ca="1" si="0"/>
        <v>42077</v>
      </c>
      <c r="B16" s="3" t="s">
        <v>25</v>
      </c>
      <c r="C16" s="3" t="s">
        <v>31</v>
      </c>
      <c r="D16" s="3" t="s">
        <v>29</v>
      </c>
      <c r="E16" s="3" t="s">
        <v>26</v>
      </c>
      <c r="F16" s="3">
        <v>2</v>
      </c>
      <c r="L16" s="3"/>
      <c r="M16" s="3"/>
      <c r="N16" s="3"/>
      <c r="O16" s="6"/>
      <c r="P16" s="3"/>
      <c r="Q16" s="3"/>
    </row>
    <row r="17" spans="1:17" x14ac:dyDescent="0.15">
      <c r="A17" s="4">
        <f t="shared" ca="1" si="0"/>
        <v>42077</v>
      </c>
      <c r="B17" s="3" t="s">
        <v>24</v>
      </c>
      <c r="C17" s="3" t="s">
        <v>27</v>
      </c>
      <c r="D17" s="3" t="s">
        <v>33</v>
      </c>
      <c r="E17" s="3" t="s">
        <v>34</v>
      </c>
      <c r="F17" s="3">
        <v>3</v>
      </c>
      <c r="L17" s="3"/>
      <c r="M17" s="3"/>
      <c r="N17" s="3"/>
      <c r="O17" s="6"/>
      <c r="P17" s="3"/>
      <c r="Q17" s="3"/>
    </row>
    <row r="18" spans="1:17" x14ac:dyDescent="0.15">
      <c r="A18" s="4">
        <f t="shared" ca="1" si="0"/>
        <v>42077</v>
      </c>
      <c r="B18" s="3" t="s">
        <v>28</v>
      </c>
      <c r="C18" s="3" t="s">
        <v>29</v>
      </c>
      <c r="D18" s="3" t="s">
        <v>31</v>
      </c>
      <c r="E18" s="3" t="s">
        <v>26</v>
      </c>
      <c r="F18" s="3">
        <v>3</v>
      </c>
      <c r="L18" s="3"/>
      <c r="M18" s="3"/>
      <c r="N18" s="3"/>
      <c r="O18" s="6"/>
      <c r="P18" s="3"/>
      <c r="Q18" s="3"/>
    </row>
    <row r="19" spans="1:17" x14ac:dyDescent="0.15">
      <c r="A19" s="4">
        <f t="shared" ca="1" si="0"/>
        <v>42077</v>
      </c>
      <c r="B19" s="3" t="s">
        <v>25</v>
      </c>
      <c r="C19" s="3" t="s">
        <v>34</v>
      </c>
      <c r="D19" s="3" t="s">
        <v>24</v>
      </c>
      <c r="E19" s="3" t="s">
        <v>33</v>
      </c>
      <c r="F19" s="3">
        <v>4</v>
      </c>
      <c r="L19" s="3"/>
      <c r="M19" s="3"/>
      <c r="N19" s="3"/>
      <c r="O19" s="6"/>
      <c r="P19" s="3"/>
      <c r="Q19" s="3"/>
    </row>
    <row r="20" spans="1:17" x14ac:dyDescent="0.15">
      <c r="A20" s="4">
        <f t="shared" ca="1" si="0"/>
        <v>42077</v>
      </c>
      <c r="B20" s="3" t="s">
        <v>31</v>
      </c>
      <c r="C20" s="3" t="s">
        <v>33</v>
      </c>
      <c r="D20" s="3" t="s">
        <v>27</v>
      </c>
      <c r="E20" s="3" t="s">
        <v>29</v>
      </c>
      <c r="F20" s="3">
        <v>13</v>
      </c>
      <c r="L20" s="3"/>
      <c r="M20" s="3"/>
      <c r="N20" s="3"/>
      <c r="O20" s="6"/>
      <c r="P20" s="3"/>
      <c r="Q20" s="3"/>
    </row>
    <row r="21" spans="1:17" x14ac:dyDescent="0.15">
      <c r="A21" s="4">
        <f t="shared" ca="1" si="0"/>
        <v>42077</v>
      </c>
      <c r="B21" s="3" t="s">
        <v>26</v>
      </c>
      <c r="C21" s="3" t="s">
        <v>28</v>
      </c>
      <c r="D21" s="3" t="s">
        <v>25</v>
      </c>
      <c r="E21" s="3" t="s">
        <v>24</v>
      </c>
      <c r="F21" s="3">
        <v>6</v>
      </c>
      <c r="L21" s="3"/>
      <c r="M21" s="3"/>
      <c r="N21" s="3"/>
      <c r="O21" s="6"/>
      <c r="P21" s="3"/>
      <c r="Q21" s="3"/>
    </row>
    <row r="22" spans="1:17" x14ac:dyDescent="0.15">
      <c r="A22" s="4">
        <f t="shared" ca="1" si="0"/>
        <v>42077</v>
      </c>
      <c r="B22" s="3" t="s">
        <v>34</v>
      </c>
      <c r="C22" s="3" t="s">
        <v>29</v>
      </c>
      <c r="D22" s="3" t="s">
        <v>33</v>
      </c>
      <c r="E22" s="3" t="s">
        <v>27</v>
      </c>
      <c r="F22" s="3">
        <v>8</v>
      </c>
      <c r="L22" s="3"/>
      <c r="M22" s="3"/>
      <c r="N22" s="3"/>
      <c r="O22" s="6"/>
      <c r="P22" s="3"/>
      <c r="Q22" s="3"/>
    </row>
    <row r="23" spans="1:17" x14ac:dyDescent="0.15">
      <c r="A23" s="4">
        <f t="shared" ca="1" si="0"/>
        <v>42077</v>
      </c>
      <c r="B23" s="3" t="s">
        <v>25</v>
      </c>
      <c r="C23" s="3" t="s">
        <v>29</v>
      </c>
      <c r="D23" s="3" t="s">
        <v>33</v>
      </c>
      <c r="E23" s="3" t="s">
        <v>34</v>
      </c>
      <c r="F23" s="3">
        <v>4</v>
      </c>
      <c r="L23" s="3"/>
      <c r="M23" s="3"/>
      <c r="N23" s="3"/>
      <c r="O23" s="6"/>
      <c r="P23" s="3"/>
      <c r="Q23" s="3"/>
    </row>
    <row r="24" spans="1:17" x14ac:dyDescent="0.15">
      <c r="A24" s="4">
        <f t="shared" ca="1" si="0"/>
        <v>42077</v>
      </c>
      <c r="B24" s="3" t="s">
        <v>26</v>
      </c>
      <c r="C24" s="3" t="s">
        <v>29</v>
      </c>
      <c r="D24" s="3" t="s">
        <v>33</v>
      </c>
      <c r="E24" s="3" t="s">
        <v>34</v>
      </c>
      <c r="F24" s="3">
        <v>5</v>
      </c>
      <c r="O24" s="6"/>
    </row>
    <row r="25" spans="1:17" x14ac:dyDescent="0.15">
      <c r="A25" s="4">
        <f t="shared" ca="1" si="0"/>
        <v>42077</v>
      </c>
      <c r="B25" s="3" t="s">
        <v>25</v>
      </c>
      <c r="C25" s="3" t="s">
        <v>35</v>
      </c>
      <c r="D25" s="3" t="s">
        <v>26</v>
      </c>
      <c r="E25" s="3" t="s">
        <v>29</v>
      </c>
      <c r="F25" s="3">
        <v>5</v>
      </c>
      <c r="O25" s="6"/>
    </row>
    <row r="26" spans="1:17" x14ac:dyDescent="0.15">
      <c r="A26" s="4">
        <f t="shared" ca="1" si="0"/>
        <v>42077</v>
      </c>
      <c r="B26" s="3" t="s">
        <v>26</v>
      </c>
      <c r="C26" s="3" t="s">
        <v>29</v>
      </c>
      <c r="D26" s="3" t="s">
        <v>25</v>
      </c>
      <c r="E26" s="3" t="s">
        <v>35</v>
      </c>
      <c r="F26" s="3">
        <v>7</v>
      </c>
      <c r="O26" s="6"/>
    </row>
    <row r="27" spans="1:17" x14ac:dyDescent="0.15">
      <c r="A27" s="3"/>
      <c r="B27" s="3"/>
      <c r="C27" s="3"/>
      <c r="D27" s="3"/>
      <c r="E27" s="3"/>
      <c r="O27" s="6"/>
    </row>
    <row r="28" spans="1:17" x14ac:dyDescent="0.15">
      <c r="A28" s="3"/>
      <c r="B28" s="3"/>
      <c r="C28" s="3"/>
      <c r="D28" s="3"/>
      <c r="E28" s="3"/>
      <c r="O28" s="6"/>
    </row>
    <row r="29" spans="1:17" x14ac:dyDescent="0.15">
      <c r="A29" s="3"/>
      <c r="B29" s="3"/>
      <c r="C29" s="3"/>
      <c r="D29" s="3"/>
      <c r="E29" s="3"/>
      <c r="O29" s="6"/>
    </row>
    <row r="30" spans="1:17" x14ac:dyDescent="0.15">
      <c r="A30" s="3"/>
      <c r="B30" s="3"/>
      <c r="C30" s="3"/>
      <c r="D30" s="3"/>
      <c r="E30" s="3"/>
      <c r="O30" s="6"/>
    </row>
    <row r="31" spans="1:17" x14ac:dyDescent="0.15">
      <c r="A31" s="3"/>
      <c r="B31" s="3"/>
      <c r="C31" s="3"/>
      <c r="D31" s="3"/>
      <c r="E31" s="3"/>
      <c r="O31" s="6"/>
    </row>
    <row r="32" spans="1:17" x14ac:dyDescent="0.15">
      <c r="A32" s="3"/>
      <c r="B32" s="3"/>
      <c r="C32" s="3"/>
      <c r="D32" s="3"/>
      <c r="E32" s="3"/>
      <c r="O32" s="6"/>
    </row>
    <row r="33" spans="1:15" x14ac:dyDescent="0.15">
      <c r="A33" s="3"/>
      <c r="B33" s="3"/>
      <c r="C33" s="3"/>
      <c r="D33" s="3"/>
      <c r="E33" s="3"/>
      <c r="O33" s="6"/>
    </row>
    <row r="34" spans="1:15" x14ac:dyDescent="0.15">
      <c r="A34" s="3"/>
      <c r="B34" s="3"/>
      <c r="C34" s="3"/>
      <c r="D34" s="3"/>
      <c r="E34" s="3"/>
      <c r="O34" s="6"/>
    </row>
    <row r="35" spans="1:15" x14ac:dyDescent="0.15">
      <c r="A35" s="3"/>
      <c r="B35" s="3"/>
      <c r="C35" s="3"/>
      <c r="D35" s="3"/>
      <c r="E35" s="3"/>
      <c r="O35" s="6"/>
    </row>
    <row r="36" spans="1:15" x14ac:dyDescent="0.15">
      <c r="A36" s="3"/>
      <c r="B36" s="3"/>
      <c r="C36" s="3"/>
      <c r="D36" s="3"/>
      <c r="E36" s="3"/>
      <c r="O36" s="6"/>
    </row>
    <row r="37" spans="1:15" x14ac:dyDescent="0.15">
      <c r="A37" s="3"/>
      <c r="B37" s="3"/>
      <c r="C37" s="3"/>
      <c r="D37" s="3"/>
      <c r="E37" s="3"/>
      <c r="O37" s="6"/>
    </row>
    <row r="38" spans="1:15" x14ac:dyDescent="0.15">
      <c r="A38" s="3"/>
      <c r="B38" s="3"/>
      <c r="C38" s="3"/>
      <c r="D38" s="3"/>
      <c r="E38" s="3"/>
      <c r="O38" s="6"/>
    </row>
    <row r="39" spans="1:15" x14ac:dyDescent="0.15">
      <c r="A39" s="3"/>
      <c r="B39" s="3"/>
      <c r="C39" s="3"/>
      <c r="D39" s="3"/>
      <c r="E39" s="3"/>
    </row>
    <row r="40" spans="1:15" x14ac:dyDescent="0.15">
      <c r="A40" s="3"/>
      <c r="B40" s="3"/>
      <c r="C40" s="3"/>
      <c r="D40" s="3"/>
      <c r="E40" s="3"/>
    </row>
    <row r="41" spans="1:15" x14ac:dyDescent="0.15">
      <c r="A41" s="3"/>
      <c r="B41" s="3"/>
      <c r="C41" s="3"/>
      <c r="D41" s="3"/>
      <c r="E41" s="3"/>
    </row>
    <row r="42" spans="1:15" x14ac:dyDescent="0.15">
      <c r="A42" s="3"/>
      <c r="B42" s="3"/>
      <c r="C42" s="3"/>
      <c r="D42" s="3"/>
      <c r="E42" s="3"/>
    </row>
    <row r="43" spans="1:15" x14ac:dyDescent="0.15">
      <c r="A43" s="3"/>
      <c r="B43" s="3"/>
      <c r="C43" s="3"/>
      <c r="D43" s="3"/>
      <c r="E43" s="3"/>
    </row>
    <row r="44" spans="1:15" x14ac:dyDescent="0.15">
      <c r="A44" s="3"/>
      <c r="B44" s="3"/>
      <c r="C44" s="3"/>
      <c r="D44" s="3"/>
      <c r="E44" s="3"/>
    </row>
    <row r="45" spans="1:15" x14ac:dyDescent="0.15">
      <c r="A45" s="3"/>
      <c r="B45" s="3"/>
      <c r="C45" s="3"/>
      <c r="D45" s="3"/>
      <c r="E45" s="3"/>
    </row>
    <row r="46" spans="1:15" x14ac:dyDescent="0.15">
      <c r="A46" s="3"/>
      <c r="B46" s="3"/>
      <c r="C46" s="3"/>
      <c r="D46" s="3"/>
      <c r="E46" s="3"/>
    </row>
    <row r="47" spans="1:15" x14ac:dyDescent="0.15">
      <c r="A47" s="3"/>
      <c r="B47" s="3"/>
      <c r="C47" s="3"/>
      <c r="D47" s="3"/>
      <c r="E47" s="3"/>
    </row>
    <row r="48" spans="1:15" x14ac:dyDescent="0.15">
      <c r="A48" s="3"/>
      <c r="B48" s="3"/>
      <c r="C48" s="3"/>
      <c r="D48" s="3"/>
      <c r="E48" s="3"/>
    </row>
    <row r="49" spans="1:5" x14ac:dyDescent="0.15">
      <c r="A49" s="3"/>
      <c r="B49" s="3"/>
      <c r="C49" s="3"/>
      <c r="D49" s="3"/>
      <c r="E49" s="3"/>
    </row>
    <row r="50" spans="1:5" x14ac:dyDescent="0.15">
      <c r="A50" s="3"/>
      <c r="B50" s="3"/>
      <c r="C50" s="3"/>
      <c r="D50" s="3"/>
      <c r="E50" s="3"/>
    </row>
    <row r="51" spans="1:5" x14ac:dyDescent="0.15">
      <c r="A51" s="3"/>
      <c r="B51" s="3"/>
      <c r="C51" s="3"/>
      <c r="D51" s="3"/>
      <c r="E51" s="3"/>
    </row>
    <row r="52" spans="1:5" x14ac:dyDescent="0.15">
      <c r="A52" s="3"/>
      <c r="B52" s="3"/>
      <c r="C52" s="3"/>
      <c r="D52" s="3"/>
      <c r="E52" s="3"/>
    </row>
    <row r="53" spans="1:5" x14ac:dyDescent="0.15">
      <c r="A53" s="3"/>
      <c r="B53" s="3"/>
      <c r="C53" s="3"/>
      <c r="D53" s="3"/>
      <c r="E53" s="3"/>
    </row>
    <row r="54" spans="1:5" x14ac:dyDescent="0.15">
      <c r="A54" s="3"/>
      <c r="B54" s="3"/>
      <c r="C54" s="3"/>
      <c r="D54" s="3"/>
      <c r="E54" s="3"/>
    </row>
    <row r="55" spans="1:5" x14ac:dyDescent="0.15">
      <c r="A55" s="3"/>
      <c r="B55" s="3"/>
      <c r="C55" s="3"/>
      <c r="D55" s="3"/>
      <c r="E55" s="3"/>
    </row>
    <row r="56" spans="1:5" x14ac:dyDescent="0.15">
      <c r="A56" s="3"/>
      <c r="B56" s="3"/>
      <c r="C56" s="3"/>
      <c r="D56" s="3"/>
      <c r="E56" s="3"/>
    </row>
    <row r="57" spans="1:5" x14ac:dyDescent="0.15">
      <c r="A57" s="3"/>
      <c r="B57" s="3"/>
      <c r="C57" s="3"/>
      <c r="D57" s="3"/>
      <c r="E57" s="3"/>
    </row>
    <row r="58" spans="1:5" x14ac:dyDescent="0.15">
      <c r="A58" s="3"/>
      <c r="B58" s="3"/>
      <c r="C58" s="3"/>
      <c r="D58" s="3"/>
      <c r="E58" s="3"/>
    </row>
    <row r="59" spans="1:5" x14ac:dyDescent="0.15">
      <c r="A59" s="3"/>
      <c r="B59" s="3"/>
      <c r="C59" s="3"/>
      <c r="D59" s="3"/>
      <c r="E59" s="3"/>
    </row>
    <row r="60" spans="1:5" x14ac:dyDescent="0.15">
      <c r="A60" s="3"/>
      <c r="B60" s="3"/>
      <c r="C60" s="3"/>
      <c r="D60" s="3"/>
      <c r="E60" s="3"/>
    </row>
    <row r="61" spans="1:5" x14ac:dyDescent="0.15">
      <c r="A61" s="3"/>
      <c r="B61" s="3"/>
      <c r="C61" s="3"/>
      <c r="D61" s="3"/>
      <c r="E61" s="3"/>
    </row>
    <row r="62" spans="1:5" x14ac:dyDescent="0.15">
      <c r="A62" s="3"/>
      <c r="B62" s="3"/>
      <c r="C62" s="3"/>
      <c r="D62" s="3"/>
      <c r="E62" s="3"/>
    </row>
    <row r="63" spans="1:5" x14ac:dyDescent="0.15">
      <c r="A63" s="3"/>
      <c r="B63" s="3"/>
      <c r="C63" s="3"/>
      <c r="D63" s="3"/>
      <c r="E63" s="3"/>
    </row>
    <row r="64" spans="1:5" x14ac:dyDescent="0.15">
      <c r="A64" s="3"/>
      <c r="B64" s="3"/>
      <c r="C64" s="3"/>
      <c r="D64" s="3"/>
      <c r="E64" s="3"/>
    </row>
    <row r="65" spans="1:5" x14ac:dyDescent="0.15">
      <c r="A65" s="3"/>
      <c r="B65" s="3"/>
      <c r="C65" s="3"/>
      <c r="D65" s="3"/>
      <c r="E65" s="3"/>
    </row>
    <row r="66" spans="1:5" x14ac:dyDescent="0.15">
      <c r="A66" s="3"/>
      <c r="B66" s="3"/>
      <c r="C66" s="3"/>
      <c r="D66" s="3"/>
      <c r="E66" s="3"/>
    </row>
    <row r="67" spans="1:5" x14ac:dyDescent="0.15">
      <c r="A67" s="3"/>
      <c r="B67" s="3"/>
      <c r="C67" s="3"/>
      <c r="D67" s="3"/>
      <c r="E67" s="3"/>
    </row>
    <row r="68" spans="1:5" x14ac:dyDescent="0.15">
      <c r="A68" s="3"/>
      <c r="B68" s="3"/>
      <c r="C68" s="3"/>
      <c r="D68" s="3"/>
      <c r="E68" s="3"/>
    </row>
    <row r="69" spans="1:5" x14ac:dyDescent="0.15">
      <c r="A69" s="3"/>
      <c r="B69" s="3"/>
      <c r="C69" s="3"/>
      <c r="D69" s="3"/>
      <c r="E69" s="3"/>
    </row>
    <row r="70" spans="1:5" x14ac:dyDescent="0.15">
      <c r="A70" s="3"/>
      <c r="B70" s="3"/>
      <c r="C70" s="3"/>
      <c r="D70" s="3"/>
      <c r="E70" s="3"/>
    </row>
    <row r="71" spans="1:5" x14ac:dyDescent="0.15">
      <c r="A71" s="3"/>
      <c r="B71" s="3"/>
      <c r="C71" s="3"/>
      <c r="D71" s="3"/>
      <c r="E71" s="3"/>
    </row>
    <row r="72" spans="1:5" x14ac:dyDescent="0.15">
      <c r="A72" s="3"/>
      <c r="B72" s="3"/>
      <c r="C72" s="3"/>
      <c r="D72" s="3"/>
      <c r="E72" s="3"/>
    </row>
    <row r="73" spans="1:5" x14ac:dyDescent="0.15">
      <c r="A73" s="3"/>
      <c r="B73" s="3"/>
      <c r="C73" s="3"/>
      <c r="D73" s="3"/>
      <c r="E73" s="3"/>
    </row>
    <row r="74" spans="1:5" x14ac:dyDescent="0.15">
      <c r="A74" s="3"/>
      <c r="B74" s="3"/>
      <c r="C74" s="3"/>
      <c r="D74" s="3"/>
      <c r="E74" s="3"/>
    </row>
    <row r="75" spans="1:5" x14ac:dyDescent="0.15">
      <c r="A75" s="3"/>
      <c r="B75" s="3"/>
      <c r="C75" s="3"/>
      <c r="D75" s="3"/>
      <c r="E75" s="3"/>
    </row>
    <row r="76" spans="1:5" x14ac:dyDescent="0.15">
      <c r="A76" s="3"/>
      <c r="B76" s="3"/>
      <c r="C76" s="3"/>
      <c r="D76" s="3"/>
      <c r="E76" s="3"/>
    </row>
  </sheetData>
  <mergeCells count="2">
    <mergeCell ref="B1:C1"/>
    <mergeCell ref="D1:E1"/>
  </mergeCells>
  <phoneticPr fontId="1" type="noConversion"/>
  <dataValidations count="2">
    <dataValidation type="list" allowBlank="1" showInputMessage="1" showErrorMessage="1" sqref="B2:E26 B27:B38">
      <formula1>成员</formula1>
    </dataValidation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E9" sqref="E9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9</v>
      </c>
      <c r="C1" s="2" t="s">
        <v>10</v>
      </c>
      <c r="D1" s="2" t="s">
        <v>8</v>
      </c>
    </row>
    <row r="2" spans="1:4" x14ac:dyDescent="0.15">
      <c r="A2" s="4">
        <f ca="1">TODAY()</f>
        <v>42077</v>
      </c>
      <c r="B2" s="3" t="s">
        <v>26</v>
      </c>
      <c r="C2" s="3" t="s">
        <v>28</v>
      </c>
      <c r="D2" s="3">
        <v>3</v>
      </c>
    </row>
    <row r="3" spans="1:4" x14ac:dyDescent="0.15">
      <c r="A3" s="4">
        <f ca="1">TODAY()</f>
        <v>42077</v>
      </c>
      <c r="B3" s="3" t="s">
        <v>26</v>
      </c>
      <c r="C3" s="3" t="s">
        <v>24</v>
      </c>
      <c r="D3" s="3">
        <v>9</v>
      </c>
    </row>
    <row r="4" spans="1:4" x14ac:dyDescent="0.15">
      <c r="A4" s="4">
        <v>42076</v>
      </c>
      <c r="B4" s="3" t="s">
        <v>24</v>
      </c>
      <c r="C4" s="3" t="s">
        <v>35</v>
      </c>
      <c r="D4" s="3">
        <v>2</v>
      </c>
    </row>
    <row r="5" spans="1:4" x14ac:dyDescent="0.15">
      <c r="A5" s="3"/>
      <c r="B5" s="3"/>
      <c r="C5" s="3"/>
      <c r="D5" s="3"/>
    </row>
    <row r="6" spans="1:4" x14ac:dyDescent="0.15">
      <c r="A6" s="3"/>
      <c r="B6" s="3"/>
      <c r="C6" s="3"/>
      <c r="D6" s="3"/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B2:B47 C2:C39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C18"/>
  <sheetViews>
    <sheetView tabSelected="1" topLeftCell="BM10" workbookViewId="0">
      <selection activeCell="DF16" sqref="DF16"/>
    </sheetView>
  </sheetViews>
  <sheetFormatPr defaultRowHeight="13.5" x14ac:dyDescent="0.15"/>
  <cols>
    <col min="1" max="1" width="11.875" style="3" customWidth="1"/>
    <col min="2" max="17" width="5.5" style="3" customWidth="1"/>
    <col min="18" max="18" width="5.25" style="3" bestFit="1" customWidth="1"/>
    <col min="19" max="19" width="11.875" style="3" bestFit="1" customWidth="1"/>
    <col min="20" max="35" width="5.25" style="3" bestFit="1" customWidth="1"/>
    <col min="36" max="36" width="4" style="3" customWidth="1"/>
    <col min="37" max="37" width="14.625" style="3" bestFit="1" customWidth="1"/>
    <col min="38" max="53" width="5.25" style="3" bestFit="1" customWidth="1"/>
    <col min="54" max="54" width="4.375" style="3" customWidth="1"/>
    <col min="55" max="55" width="14.625" style="3" bestFit="1" customWidth="1"/>
    <col min="56" max="57" width="5.5" style="3" bestFit="1" customWidth="1"/>
    <col min="58" max="59" width="5.25" style="3" bestFit="1" customWidth="1"/>
    <col min="60" max="67" width="5.5" style="3" bestFit="1" customWidth="1"/>
    <col min="68" max="69" width="4.5" style="3" bestFit="1" customWidth="1"/>
    <col min="70" max="71" width="5.5" style="3" bestFit="1" customWidth="1"/>
    <col min="72" max="72" width="4.875" style="3" customWidth="1"/>
    <col min="73" max="73" width="11.875" style="3" bestFit="1" customWidth="1"/>
    <col min="74" max="75" width="6.5" style="3" bestFit="1" customWidth="1"/>
    <col min="76" max="76" width="5.25" style="3" bestFit="1" customWidth="1"/>
    <col min="77" max="77" width="6.5" style="3" bestFit="1" customWidth="1"/>
    <col min="78" max="79" width="5.25" style="3" bestFit="1" customWidth="1"/>
    <col min="80" max="82" width="6.5" style="3" bestFit="1" customWidth="1"/>
    <col min="83" max="85" width="5.25" style="3" bestFit="1" customWidth="1"/>
    <col min="86" max="88" width="6.5" style="3" bestFit="1" customWidth="1"/>
    <col min="89" max="89" width="5.25" style="3" bestFit="1" customWidth="1"/>
    <col min="90" max="90" width="5.625" style="3" customWidth="1"/>
    <col min="91" max="91" width="20.25" style="3" bestFit="1" customWidth="1"/>
    <col min="92" max="104" width="5.25" style="3" bestFit="1" customWidth="1"/>
    <col min="105" max="106" width="5.5" style="3" bestFit="1" customWidth="1"/>
    <col min="107" max="107" width="5.25" style="3" bestFit="1" customWidth="1"/>
    <col min="108" max="16384" width="9" style="3"/>
  </cols>
  <sheetData>
    <row r="1" spans="1:107" ht="20.25" x14ac:dyDescent="0.15">
      <c r="A1" s="10" t="s">
        <v>77</v>
      </c>
      <c r="B1" s="9" t="s">
        <v>61</v>
      </c>
      <c r="C1" s="9" t="s">
        <v>76</v>
      </c>
      <c r="D1" s="9" t="s">
        <v>62</v>
      </c>
      <c r="E1" s="9" t="s">
        <v>63</v>
      </c>
      <c r="F1" s="9" t="s">
        <v>64</v>
      </c>
      <c r="G1" s="9" t="s">
        <v>65</v>
      </c>
      <c r="H1" s="9" t="s">
        <v>66</v>
      </c>
      <c r="I1" s="9" t="s">
        <v>67</v>
      </c>
      <c r="J1" s="9" t="s">
        <v>68</v>
      </c>
      <c r="K1" s="9" t="s">
        <v>69</v>
      </c>
      <c r="L1" s="9" t="s">
        <v>70</v>
      </c>
      <c r="M1" s="9" t="s">
        <v>71</v>
      </c>
      <c r="N1" s="9" t="s">
        <v>72</v>
      </c>
      <c r="O1" s="9" t="s">
        <v>73</v>
      </c>
      <c r="P1" s="9" t="s">
        <v>74</v>
      </c>
      <c r="Q1" s="9" t="s">
        <v>75</v>
      </c>
      <c r="S1" s="10" t="s">
        <v>78</v>
      </c>
      <c r="T1" s="9" t="s">
        <v>61</v>
      </c>
      <c r="U1" s="9" t="s">
        <v>76</v>
      </c>
      <c r="V1" s="9" t="s">
        <v>62</v>
      </c>
      <c r="W1" s="9" t="s">
        <v>63</v>
      </c>
      <c r="X1" s="9" t="s">
        <v>64</v>
      </c>
      <c r="Y1" s="9" t="s">
        <v>65</v>
      </c>
      <c r="Z1" s="9" t="s">
        <v>66</v>
      </c>
      <c r="AA1" s="9" t="s">
        <v>67</v>
      </c>
      <c r="AB1" s="9" t="s">
        <v>68</v>
      </c>
      <c r="AC1" s="9" t="s">
        <v>69</v>
      </c>
      <c r="AD1" s="9" t="s">
        <v>70</v>
      </c>
      <c r="AE1" s="9" t="s">
        <v>71</v>
      </c>
      <c r="AF1" s="9" t="s">
        <v>72</v>
      </c>
      <c r="AG1" s="9" t="s">
        <v>73</v>
      </c>
      <c r="AH1" s="9" t="s">
        <v>74</v>
      </c>
      <c r="AI1" s="9" t="s">
        <v>75</v>
      </c>
      <c r="AK1" s="10" t="s">
        <v>79</v>
      </c>
      <c r="AL1" s="9" t="s">
        <v>61</v>
      </c>
      <c r="AM1" s="9" t="s">
        <v>76</v>
      </c>
      <c r="AN1" s="9" t="s">
        <v>62</v>
      </c>
      <c r="AO1" s="9" t="s">
        <v>63</v>
      </c>
      <c r="AP1" s="9" t="s">
        <v>64</v>
      </c>
      <c r="AQ1" s="9" t="s">
        <v>65</v>
      </c>
      <c r="AR1" s="9" t="s">
        <v>66</v>
      </c>
      <c r="AS1" s="9" t="s">
        <v>67</v>
      </c>
      <c r="AT1" s="9" t="s">
        <v>68</v>
      </c>
      <c r="AU1" s="9" t="s">
        <v>69</v>
      </c>
      <c r="AV1" s="9" t="s">
        <v>70</v>
      </c>
      <c r="AW1" s="9" t="s">
        <v>71</v>
      </c>
      <c r="AX1" s="9" t="s">
        <v>72</v>
      </c>
      <c r="AY1" s="9" t="s">
        <v>73</v>
      </c>
      <c r="AZ1" s="9" t="s">
        <v>74</v>
      </c>
      <c r="BA1" s="9" t="s">
        <v>75</v>
      </c>
      <c r="BC1" s="10" t="s">
        <v>80</v>
      </c>
      <c r="BD1" s="9" t="s">
        <v>61</v>
      </c>
      <c r="BE1" s="9" t="s">
        <v>76</v>
      </c>
      <c r="BF1" s="9" t="s">
        <v>62</v>
      </c>
      <c r="BG1" s="9" t="s">
        <v>63</v>
      </c>
      <c r="BH1" s="9" t="s">
        <v>64</v>
      </c>
      <c r="BI1" s="9" t="s">
        <v>65</v>
      </c>
      <c r="BJ1" s="9" t="s">
        <v>66</v>
      </c>
      <c r="BK1" s="9" t="s">
        <v>67</v>
      </c>
      <c r="BL1" s="9" t="s">
        <v>68</v>
      </c>
      <c r="BM1" s="9" t="s">
        <v>69</v>
      </c>
      <c r="BN1" s="9" t="s">
        <v>70</v>
      </c>
      <c r="BO1" s="9" t="s">
        <v>71</v>
      </c>
      <c r="BP1" s="9" t="s">
        <v>72</v>
      </c>
      <c r="BQ1" s="9" t="s">
        <v>73</v>
      </c>
      <c r="BR1" s="9" t="s">
        <v>74</v>
      </c>
      <c r="BS1" s="9" t="s">
        <v>75</v>
      </c>
      <c r="BU1" s="10" t="s">
        <v>90</v>
      </c>
      <c r="BV1" s="9" t="s">
        <v>61</v>
      </c>
      <c r="BW1" s="9" t="s">
        <v>76</v>
      </c>
      <c r="BX1" s="9" t="s">
        <v>62</v>
      </c>
      <c r="BY1" s="9" t="s">
        <v>63</v>
      </c>
      <c r="BZ1" s="9" t="s">
        <v>64</v>
      </c>
      <c r="CA1" s="9" t="s">
        <v>65</v>
      </c>
      <c r="CB1" s="9" t="s">
        <v>66</v>
      </c>
      <c r="CC1" s="9" t="s">
        <v>67</v>
      </c>
      <c r="CD1" s="9" t="s">
        <v>68</v>
      </c>
      <c r="CE1" s="9" t="s">
        <v>69</v>
      </c>
      <c r="CF1" s="9" t="s">
        <v>70</v>
      </c>
      <c r="CG1" s="9" t="s">
        <v>71</v>
      </c>
      <c r="CH1" s="9" t="s">
        <v>72</v>
      </c>
      <c r="CI1" s="9" t="s">
        <v>73</v>
      </c>
      <c r="CJ1" s="9" t="s">
        <v>74</v>
      </c>
      <c r="CK1" s="9" t="s">
        <v>75</v>
      </c>
      <c r="CM1" s="10" t="s">
        <v>91</v>
      </c>
      <c r="CN1" s="9" t="s">
        <v>61</v>
      </c>
      <c r="CO1" s="9" t="s">
        <v>76</v>
      </c>
      <c r="CP1" s="9" t="s">
        <v>62</v>
      </c>
      <c r="CQ1" s="9" t="s">
        <v>63</v>
      </c>
      <c r="CR1" s="9" t="s">
        <v>64</v>
      </c>
      <c r="CS1" s="9" t="s">
        <v>65</v>
      </c>
      <c r="CT1" s="9" t="s">
        <v>66</v>
      </c>
      <c r="CU1" s="9" t="s">
        <v>67</v>
      </c>
      <c r="CV1" s="9" t="s">
        <v>68</v>
      </c>
      <c r="CW1" s="9" t="s">
        <v>69</v>
      </c>
      <c r="CX1" s="9" t="s">
        <v>70</v>
      </c>
      <c r="CY1" s="9" t="s">
        <v>71</v>
      </c>
      <c r="CZ1" s="9" t="s">
        <v>72</v>
      </c>
      <c r="DA1" s="9" t="s">
        <v>73</v>
      </c>
      <c r="DB1" s="9" t="s">
        <v>74</v>
      </c>
      <c r="DC1" s="9" t="s">
        <v>75</v>
      </c>
    </row>
    <row r="2" spans="1:107" ht="16.5" x14ac:dyDescent="0.15">
      <c r="A2" s="9" t="s">
        <v>61</v>
      </c>
      <c r="B2" s="3">
        <v>0</v>
      </c>
      <c r="C2" s="3">
        <v>1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2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1</v>
      </c>
      <c r="P2" s="3">
        <v>0</v>
      </c>
      <c r="Q2" s="3">
        <v>0</v>
      </c>
      <c r="S2" s="9" t="s">
        <v>61</v>
      </c>
      <c r="T2" s="3">
        <v>0</v>
      </c>
      <c r="U2" s="3">
        <v>1</v>
      </c>
      <c r="V2" s="3">
        <v>0</v>
      </c>
      <c r="W2" s="3">
        <v>1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2</v>
      </c>
      <c r="AH2" s="3">
        <v>2</v>
      </c>
      <c r="AI2" s="3">
        <v>0</v>
      </c>
      <c r="AK2" s="9" t="s">
        <v>61</v>
      </c>
      <c r="AL2" s="3">
        <v>0</v>
      </c>
      <c r="AM2" s="3">
        <v>7</v>
      </c>
      <c r="AN2" s="3">
        <v>0</v>
      </c>
      <c r="AO2" s="3">
        <v>6</v>
      </c>
      <c r="AP2" s="3">
        <v>0</v>
      </c>
      <c r="AQ2" s="3">
        <v>0</v>
      </c>
      <c r="AR2" s="3">
        <v>8</v>
      </c>
      <c r="AS2" s="3">
        <v>10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3</v>
      </c>
      <c r="AZ2" s="3">
        <v>0</v>
      </c>
      <c r="BA2" s="3">
        <v>0</v>
      </c>
      <c r="BC2" s="9" t="s">
        <v>61</v>
      </c>
      <c r="BD2" s="3">
        <v>0</v>
      </c>
      <c r="BE2" s="3">
        <v>-6</v>
      </c>
      <c r="BF2" s="3">
        <v>0</v>
      </c>
      <c r="BG2" s="3">
        <v>-4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-12</v>
      </c>
      <c r="BR2" s="3">
        <v>-12</v>
      </c>
      <c r="BS2" s="3">
        <v>0</v>
      </c>
      <c r="BU2" s="9" t="s">
        <v>61</v>
      </c>
      <c r="BV2" s="11">
        <v>0</v>
      </c>
      <c r="BW2" s="11">
        <v>0.5</v>
      </c>
      <c r="BX2" s="11">
        <v>0</v>
      </c>
      <c r="BY2" s="11">
        <v>0.5</v>
      </c>
      <c r="BZ2" s="11">
        <v>0</v>
      </c>
      <c r="CA2" s="11">
        <v>0</v>
      </c>
      <c r="CB2" s="11">
        <v>1</v>
      </c>
      <c r="CC2" s="11">
        <v>1</v>
      </c>
      <c r="CD2" s="11">
        <v>0</v>
      </c>
      <c r="CE2" s="11">
        <v>0</v>
      </c>
      <c r="CF2" s="11">
        <v>0</v>
      </c>
      <c r="CG2" s="11">
        <v>0</v>
      </c>
      <c r="CH2" s="11">
        <v>0</v>
      </c>
      <c r="CI2" s="11">
        <v>0.33333333333333331</v>
      </c>
      <c r="CJ2" s="11">
        <v>-1</v>
      </c>
      <c r="CK2" s="11">
        <v>0</v>
      </c>
      <c r="CM2" s="9" t="s">
        <v>61</v>
      </c>
      <c r="CN2" s="12">
        <v>0</v>
      </c>
      <c r="CO2" s="12">
        <v>0.5</v>
      </c>
      <c r="CP2" s="12">
        <v>0</v>
      </c>
      <c r="CQ2" s="12">
        <v>1</v>
      </c>
      <c r="CR2" s="12">
        <v>0</v>
      </c>
      <c r="CS2" s="12">
        <v>0</v>
      </c>
      <c r="CT2" s="12">
        <v>8</v>
      </c>
      <c r="CU2" s="12">
        <v>5</v>
      </c>
      <c r="CV2" s="12">
        <v>0</v>
      </c>
      <c r="CW2" s="12">
        <v>0</v>
      </c>
      <c r="CX2" s="12">
        <v>0</v>
      </c>
      <c r="CY2" s="12">
        <v>0</v>
      </c>
      <c r="CZ2" s="12">
        <v>0</v>
      </c>
      <c r="DA2" s="12">
        <v>-3</v>
      </c>
      <c r="DB2" s="12">
        <v>-6</v>
      </c>
      <c r="DC2" s="12">
        <v>0</v>
      </c>
    </row>
    <row r="3" spans="1:107" ht="16.5" x14ac:dyDescent="0.15">
      <c r="A3" s="9" t="s">
        <v>76</v>
      </c>
      <c r="B3" s="3">
        <v>1</v>
      </c>
      <c r="C3" s="3">
        <v>0</v>
      </c>
      <c r="D3" s="3">
        <v>0</v>
      </c>
      <c r="E3" s="3">
        <v>1</v>
      </c>
      <c r="F3" s="3">
        <v>0</v>
      </c>
      <c r="G3" s="3">
        <v>1</v>
      </c>
      <c r="H3" s="3">
        <v>1</v>
      </c>
      <c r="I3" s="3">
        <v>2</v>
      </c>
      <c r="J3" s="3">
        <v>1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2</v>
      </c>
      <c r="Q3" s="3">
        <v>0</v>
      </c>
      <c r="S3" s="9" t="s">
        <v>76</v>
      </c>
      <c r="T3" s="3">
        <v>1</v>
      </c>
      <c r="U3" s="3">
        <v>0</v>
      </c>
      <c r="V3" s="3">
        <v>0</v>
      </c>
      <c r="W3" s="3">
        <v>0</v>
      </c>
      <c r="X3" s="3">
        <v>0</v>
      </c>
      <c r="Y3" s="3">
        <v>1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1</v>
      </c>
      <c r="AH3" s="3">
        <v>0</v>
      </c>
      <c r="AI3" s="3">
        <v>0</v>
      </c>
      <c r="AK3" s="9" t="s">
        <v>76</v>
      </c>
      <c r="AL3" s="3">
        <v>7</v>
      </c>
      <c r="AM3" s="3">
        <v>0</v>
      </c>
      <c r="AN3" s="3">
        <v>0</v>
      </c>
      <c r="AO3" s="3">
        <v>6</v>
      </c>
      <c r="AP3" s="3">
        <v>0</v>
      </c>
      <c r="AQ3" s="3">
        <v>5</v>
      </c>
      <c r="AR3" s="3">
        <v>8</v>
      </c>
      <c r="AS3" s="3">
        <v>12</v>
      </c>
      <c r="AT3" s="3">
        <v>4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11</v>
      </c>
      <c r="BA3" s="3">
        <v>0</v>
      </c>
      <c r="BC3" s="9" t="s">
        <v>76</v>
      </c>
      <c r="BD3" s="3">
        <v>-6</v>
      </c>
      <c r="BE3" s="3">
        <v>0</v>
      </c>
      <c r="BF3" s="3">
        <v>0</v>
      </c>
      <c r="BG3" s="3">
        <v>0</v>
      </c>
      <c r="BH3" s="3">
        <v>0</v>
      </c>
      <c r="BI3" s="3">
        <v>-7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-8</v>
      </c>
      <c r="BR3" s="3">
        <v>0</v>
      </c>
      <c r="BS3" s="3">
        <v>0</v>
      </c>
      <c r="BU3" s="9" t="s">
        <v>76</v>
      </c>
      <c r="BV3" s="11">
        <v>0.5</v>
      </c>
      <c r="BW3" s="11">
        <v>0</v>
      </c>
      <c r="BX3" s="11">
        <v>0</v>
      </c>
      <c r="BY3" s="11">
        <v>1</v>
      </c>
      <c r="BZ3" s="11">
        <v>0</v>
      </c>
      <c r="CA3" s="11">
        <v>0.5</v>
      </c>
      <c r="CB3" s="11">
        <v>1</v>
      </c>
      <c r="CC3" s="11">
        <v>1</v>
      </c>
      <c r="CD3" s="11">
        <v>1</v>
      </c>
      <c r="CE3" s="11">
        <v>0</v>
      </c>
      <c r="CF3" s="11">
        <v>0</v>
      </c>
      <c r="CG3" s="11">
        <v>0</v>
      </c>
      <c r="CH3" s="11">
        <v>0</v>
      </c>
      <c r="CI3" s="11">
        <v>-1</v>
      </c>
      <c r="CJ3" s="11">
        <v>1</v>
      </c>
      <c r="CK3" s="11">
        <v>0</v>
      </c>
      <c r="CM3" s="9" t="s">
        <v>76</v>
      </c>
      <c r="CN3" s="12">
        <v>0.5</v>
      </c>
      <c r="CO3" s="12">
        <v>0</v>
      </c>
      <c r="CP3" s="12">
        <v>0</v>
      </c>
      <c r="CQ3" s="12">
        <v>6</v>
      </c>
      <c r="CR3" s="12">
        <v>0</v>
      </c>
      <c r="CS3" s="12">
        <v>-1</v>
      </c>
      <c r="CT3" s="12">
        <v>8</v>
      </c>
      <c r="CU3" s="12">
        <v>6</v>
      </c>
      <c r="CV3" s="12">
        <v>4</v>
      </c>
      <c r="CW3" s="12">
        <v>0</v>
      </c>
      <c r="CX3" s="12">
        <v>0</v>
      </c>
      <c r="CY3" s="12">
        <v>0</v>
      </c>
      <c r="CZ3" s="12">
        <v>0</v>
      </c>
      <c r="DA3" s="12">
        <v>-8</v>
      </c>
      <c r="DB3" s="12">
        <v>5.5</v>
      </c>
      <c r="DC3" s="12">
        <v>0</v>
      </c>
    </row>
    <row r="4" spans="1:107" ht="16.5" x14ac:dyDescent="0.15">
      <c r="A4" s="9" t="s">
        <v>62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9" t="s">
        <v>62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K4" s="9" t="s">
        <v>62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C4" s="9" t="s">
        <v>62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U4" s="9" t="s">
        <v>62</v>
      </c>
      <c r="BV4" s="11">
        <v>0</v>
      </c>
      <c r="BW4" s="11">
        <v>0</v>
      </c>
      <c r="BX4" s="11">
        <v>0</v>
      </c>
      <c r="BY4" s="11">
        <v>0</v>
      </c>
      <c r="BZ4" s="11">
        <v>0</v>
      </c>
      <c r="CA4" s="11">
        <v>0</v>
      </c>
      <c r="CB4" s="11">
        <v>0</v>
      </c>
      <c r="CC4" s="11">
        <v>0</v>
      </c>
      <c r="CD4" s="11">
        <v>0</v>
      </c>
      <c r="CE4" s="11">
        <v>0</v>
      </c>
      <c r="CF4" s="11">
        <v>0</v>
      </c>
      <c r="CG4" s="11">
        <v>0</v>
      </c>
      <c r="CH4" s="11">
        <v>0</v>
      </c>
      <c r="CI4" s="11">
        <v>0</v>
      </c>
      <c r="CJ4" s="11">
        <v>0</v>
      </c>
      <c r="CK4" s="11">
        <v>0</v>
      </c>
      <c r="CM4" s="9" t="s">
        <v>62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</row>
    <row r="5" spans="1:107" ht="16.5" x14ac:dyDescent="0.15">
      <c r="A5" s="9" t="s">
        <v>63</v>
      </c>
      <c r="B5" s="3">
        <v>1</v>
      </c>
      <c r="C5" s="3">
        <v>1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3</v>
      </c>
      <c r="J5" s="3">
        <v>1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9" t="s">
        <v>63</v>
      </c>
      <c r="T5" s="3">
        <v>1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3</v>
      </c>
      <c r="AC5" s="3">
        <v>0</v>
      </c>
      <c r="AD5" s="3">
        <v>0</v>
      </c>
      <c r="AE5" s="3">
        <v>0</v>
      </c>
      <c r="AF5" s="3">
        <v>0</v>
      </c>
      <c r="AG5" s="3">
        <v>1</v>
      </c>
      <c r="AH5" s="3">
        <v>0</v>
      </c>
      <c r="AI5" s="3">
        <v>0</v>
      </c>
      <c r="AK5" s="9" t="s">
        <v>63</v>
      </c>
      <c r="AL5" s="3">
        <v>6</v>
      </c>
      <c r="AM5" s="3">
        <v>6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20</v>
      </c>
      <c r="AT5" s="3">
        <v>2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C5" s="9" t="s">
        <v>63</v>
      </c>
      <c r="BD5" s="3">
        <v>-4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-12</v>
      </c>
      <c r="BM5" s="3">
        <v>0</v>
      </c>
      <c r="BN5" s="3">
        <v>0</v>
      </c>
      <c r="BO5" s="3">
        <v>0</v>
      </c>
      <c r="BP5" s="3">
        <v>0</v>
      </c>
      <c r="BQ5" s="3">
        <v>-8</v>
      </c>
      <c r="BR5" s="3">
        <v>0</v>
      </c>
      <c r="BS5" s="3">
        <v>0</v>
      </c>
      <c r="BU5" s="9" t="s">
        <v>63</v>
      </c>
      <c r="BV5" s="11">
        <v>0.5</v>
      </c>
      <c r="BW5" s="11">
        <v>1</v>
      </c>
      <c r="BX5" s="11">
        <v>0</v>
      </c>
      <c r="BY5" s="11">
        <v>0</v>
      </c>
      <c r="BZ5" s="11">
        <v>0</v>
      </c>
      <c r="CA5" s="11">
        <v>0</v>
      </c>
      <c r="CB5" s="11">
        <v>0</v>
      </c>
      <c r="CC5" s="11">
        <v>1</v>
      </c>
      <c r="CD5" s="11">
        <v>0.25</v>
      </c>
      <c r="CE5" s="11">
        <v>0</v>
      </c>
      <c r="CF5" s="11">
        <v>0</v>
      </c>
      <c r="CG5" s="11">
        <v>0</v>
      </c>
      <c r="CH5" s="11">
        <v>0</v>
      </c>
      <c r="CI5" s="11">
        <v>-1</v>
      </c>
      <c r="CJ5" s="11">
        <v>0</v>
      </c>
      <c r="CK5" s="11">
        <v>0</v>
      </c>
      <c r="CM5" s="9" t="s">
        <v>63</v>
      </c>
      <c r="CN5" s="12">
        <v>1</v>
      </c>
      <c r="CO5" s="12">
        <v>6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6.666666666666667</v>
      </c>
      <c r="CV5" s="12">
        <v>-2.5</v>
      </c>
      <c r="CW5" s="12">
        <v>0</v>
      </c>
      <c r="CX5" s="12">
        <v>0</v>
      </c>
      <c r="CY5" s="12">
        <v>0</v>
      </c>
      <c r="CZ5" s="12">
        <v>0</v>
      </c>
      <c r="DA5" s="12">
        <v>-8</v>
      </c>
      <c r="DB5" s="12">
        <v>0</v>
      </c>
      <c r="DC5" s="12">
        <v>0</v>
      </c>
    </row>
    <row r="6" spans="1:107" ht="16.5" x14ac:dyDescent="0.15">
      <c r="A6" s="9" t="s">
        <v>64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9" t="s">
        <v>64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K6" s="9" t="s">
        <v>64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C6" s="9" t="s">
        <v>64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U6" s="9" t="s">
        <v>64</v>
      </c>
      <c r="BV6" s="11">
        <v>0</v>
      </c>
      <c r="BW6" s="11">
        <v>0</v>
      </c>
      <c r="BX6" s="11">
        <v>0</v>
      </c>
      <c r="BY6" s="11">
        <v>0</v>
      </c>
      <c r="BZ6" s="11">
        <v>0</v>
      </c>
      <c r="CA6" s="11">
        <v>0</v>
      </c>
      <c r="CB6" s="11">
        <v>0</v>
      </c>
      <c r="CC6" s="11">
        <v>0</v>
      </c>
      <c r="CD6" s="11">
        <v>0</v>
      </c>
      <c r="CE6" s="11">
        <v>0</v>
      </c>
      <c r="CF6" s="11">
        <v>0</v>
      </c>
      <c r="CG6" s="11">
        <v>0</v>
      </c>
      <c r="CH6" s="11">
        <v>0</v>
      </c>
      <c r="CI6" s="11">
        <v>0</v>
      </c>
      <c r="CJ6" s="11">
        <v>0</v>
      </c>
      <c r="CK6" s="11">
        <v>0</v>
      </c>
      <c r="CM6" s="9" t="s">
        <v>64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</row>
    <row r="7" spans="1:107" ht="16.5" x14ac:dyDescent="0.15">
      <c r="A7" s="9" t="s">
        <v>65</v>
      </c>
      <c r="B7" s="3">
        <v>0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9" t="s">
        <v>65</v>
      </c>
      <c r="T7" s="3">
        <v>0</v>
      </c>
      <c r="U7" s="3">
        <v>1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K7" s="9" t="s">
        <v>65</v>
      </c>
      <c r="AL7" s="3">
        <v>0</v>
      </c>
      <c r="AM7" s="3">
        <v>5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C7" s="9" t="s">
        <v>65</v>
      </c>
      <c r="BD7" s="3">
        <v>0</v>
      </c>
      <c r="BE7" s="3">
        <v>-7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U7" s="9" t="s">
        <v>65</v>
      </c>
      <c r="BV7" s="11">
        <v>0</v>
      </c>
      <c r="BW7" s="11">
        <v>0.5</v>
      </c>
      <c r="BX7" s="11">
        <v>0</v>
      </c>
      <c r="BY7" s="11">
        <v>0</v>
      </c>
      <c r="BZ7" s="11">
        <v>0</v>
      </c>
      <c r="CA7" s="11">
        <v>0</v>
      </c>
      <c r="CB7" s="11">
        <v>0</v>
      </c>
      <c r="CC7" s="11">
        <v>0</v>
      </c>
      <c r="CD7" s="11">
        <v>0</v>
      </c>
      <c r="CE7" s="11">
        <v>0</v>
      </c>
      <c r="CF7" s="11">
        <v>0</v>
      </c>
      <c r="CG7" s="11">
        <v>0</v>
      </c>
      <c r="CH7" s="11">
        <v>0</v>
      </c>
      <c r="CI7" s="11">
        <v>0</v>
      </c>
      <c r="CJ7" s="11">
        <v>0</v>
      </c>
      <c r="CK7" s="11">
        <v>0</v>
      </c>
      <c r="CM7" s="9" t="s">
        <v>65</v>
      </c>
      <c r="CN7" s="12">
        <v>0</v>
      </c>
      <c r="CO7" s="12">
        <v>-1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</row>
    <row r="8" spans="1:107" ht="16.5" x14ac:dyDescent="0.15">
      <c r="A8" s="9" t="s">
        <v>66</v>
      </c>
      <c r="B8" s="3">
        <v>1</v>
      </c>
      <c r="C8" s="3">
        <v>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</v>
      </c>
      <c r="J8" s="3">
        <v>0</v>
      </c>
      <c r="K8" s="3">
        <v>0</v>
      </c>
      <c r="L8" s="3">
        <v>0</v>
      </c>
      <c r="M8" s="3">
        <v>0</v>
      </c>
      <c r="N8" s="3">
        <v>1</v>
      </c>
      <c r="O8" s="3">
        <v>0</v>
      </c>
      <c r="P8" s="3">
        <v>2</v>
      </c>
      <c r="Q8" s="3">
        <v>0</v>
      </c>
      <c r="S8" s="9" t="s">
        <v>66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1</v>
      </c>
      <c r="AB8" s="3">
        <v>1</v>
      </c>
      <c r="AC8" s="3">
        <v>0</v>
      </c>
      <c r="AD8" s="3">
        <v>0</v>
      </c>
      <c r="AE8" s="3">
        <v>0</v>
      </c>
      <c r="AF8" s="3">
        <v>0</v>
      </c>
      <c r="AG8" s="3">
        <v>2</v>
      </c>
      <c r="AH8" s="3">
        <v>1</v>
      </c>
      <c r="AI8" s="3">
        <v>0</v>
      </c>
      <c r="AK8" s="9" t="s">
        <v>66</v>
      </c>
      <c r="AL8" s="3">
        <v>8</v>
      </c>
      <c r="AM8" s="3">
        <v>8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2</v>
      </c>
      <c r="AT8" s="3">
        <v>0</v>
      </c>
      <c r="AU8" s="3">
        <v>0</v>
      </c>
      <c r="AV8" s="3">
        <v>0</v>
      </c>
      <c r="AW8" s="3">
        <v>0</v>
      </c>
      <c r="AX8" s="3">
        <v>6</v>
      </c>
      <c r="AY8" s="3">
        <v>0</v>
      </c>
      <c r="AZ8" s="3">
        <v>8</v>
      </c>
      <c r="BA8" s="3">
        <v>0</v>
      </c>
      <c r="BC8" s="9" t="s">
        <v>66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-6</v>
      </c>
      <c r="BL8" s="3">
        <v>-5</v>
      </c>
      <c r="BM8" s="3">
        <v>0</v>
      </c>
      <c r="BN8" s="3">
        <v>0</v>
      </c>
      <c r="BO8" s="3">
        <v>0</v>
      </c>
      <c r="BP8" s="3">
        <v>0</v>
      </c>
      <c r="BQ8" s="3">
        <v>-9</v>
      </c>
      <c r="BR8" s="3">
        <v>-3</v>
      </c>
      <c r="BS8" s="3">
        <v>0</v>
      </c>
      <c r="BU8" s="9" t="s">
        <v>66</v>
      </c>
      <c r="BV8" s="11">
        <v>1</v>
      </c>
      <c r="BW8" s="11">
        <v>1</v>
      </c>
      <c r="BX8" s="11">
        <v>0</v>
      </c>
      <c r="BY8" s="11">
        <v>0</v>
      </c>
      <c r="BZ8" s="11">
        <v>0</v>
      </c>
      <c r="CA8" s="11">
        <v>0</v>
      </c>
      <c r="CB8" s="11">
        <v>0</v>
      </c>
      <c r="CC8" s="11">
        <v>0.5</v>
      </c>
      <c r="CD8" s="11">
        <v>-1</v>
      </c>
      <c r="CE8" s="11">
        <v>0</v>
      </c>
      <c r="CF8" s="11">
        <v>0</v>
      </c>
      <c r="CG8" s="11">
        <v>0</v>
      </c>
      <c r="CH8" s="11">
        <v>1</v>
      </c>
      <c r="CI8" s="11">
        <v>-1</v>
      </c>
      <c r="CJ8" s="11">
        <v>0.66666666666666663</v>
      </c>
      <c r="CK8" s="11">
        <v>0</v>
      </c>
      <c r="CM8" s="9" t="s">
        <v>66</v>
      </c>
      <c r="CN8" s="12">
        <v>8</v>
      </c>
      <c r="CO8" s="12">
        <v>8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-2</v>
      </c>
      <c r="CV8" s="12">
        <v>-5</v>
      </c>
      <c r="CW8" s="12">
        <v>0</v>
      </c>
      <c r="CX8" s="12">
        <v>0</v>
      </c>
      <c r="CY8" s="12">
        <v>0</v>
      </c>
      <c r="CZ8" s="12">
        <v>6</v>
      </c>
      <c r="DA8" s="12">
        <v>-4.5</v>
      </c>
      <c r="DB8" s="12">
        <v>1.6666666666666667</v>
      </c>
      <c r="DC8" s="12">
        <v>0</v>
      </c>
    </row>
    <row r="9" spans="1:107" ht="16.5" x14ac:dyDescent="0.15">
      <c r="A9" s="9" t="s">
        <v>67</v>
      </c>
      <c r="B9" s="3">
        <v>2</v>
      </c>
      <c r="C9" s="3">
        <v>2</v>
      </c>
      <c r="D9" s="3">
        <v>0</v>
      </c>
      <c r="E9" s="3">
        <v>3</v>
      </c>
      <c r="F9" s="3">
        <v>0</v>
      </c>
      <c r="G9" s="3">
        <v>0</v>
      </c>
      <c r="H9" s="3">
        <v>1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9" t="s">
        <v>67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1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1</v>
      </c>
      <c r="AG9" s="3">
        <v>0</v>
      </c>
      <c r="AH9" s="3">
        <v>1</v>
      </c>
      <c r="AI9" s="3">
        <v>0</v>
      </c>
      <c r="AK9" s="9" t="s">
        <v>67</v>
      </c>
      <c r="AL9" s="3">
        <v>10</v>
      </c>
      <c r="AM9" s="3">
        <v>12</v>
      </c>
      <c r="AN9" s="3">
        <v>0</v>
      </c>
      <c r="AO9" s="3">
        <v>20</v>
      </c>
      <c r="AP9" s="3">
        <v>0</v>
      </c>
      <c r="AQ9" s="3">
        <v>0</v>
      </c>
      <c r="AR9" s="3">
        <v>2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C9" s="9" t="s">
        <v>67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-6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-3</v>
      </c>
      <c r="BQ9" s="3">
        <v>0</v>
      </c>
      <c r="BR9" s="3">
        <v>-8</v>
      </c>
      <c r="BS9" s="3">
        <v>0</v>
      </c>
      <c r="BU9" s="9" t="s">
        <v>67</v>
      </c>
      <c r="BV9" s="11">
        <v>1</v>
      </c>
      <c r="BW9" s="11">
        <v>1</v>
      </c>
      <c r="BX9" s="11">
        <v>0</v>
      </c>
      <c r="BY9" s="11">
        <v>1</v>
      </c>
      <c r="BZ9" s="11">
        <v>0</v>
      </c>
      <c r="CA9" s="11">
        <v>0</v>
      </c>
      <c r="CB9" s="11">
        <v>0.5</v>
      </c>
      <c r="CC9" s="11">
        <v>0</v>
      </c>
      <c r="CD9" s="11">
        <v>0</v>
      </c>
      <c r="CE9" s="11">
        <v>0</v>
      </c>
      <c r="CF9" s="11">
        <v>0</v>
      </c>
      <c r="CG9" s="11">
        <v>0</v>
      </c>
      <c r="CH9" s="11">
        <v>-1</v>
      </c>
      <c r="CI9" s="11">
        <v>0</v>
      </c>
      <c r="CJ9" s="11">
        <v>-1</v>
      </c>
      <c r="CK9" s="11">
        <v>0</v>
      </c>
      <c r="CM9" s="9" t="s">
        <v>67</v>
      </c>
      <c r="CN9" s="12">
        <v>5</v>
      </c>
      <c r="CO9" s="12">
        <v>6</v>
      </c>
      <c r="CP9" s="12">
        <v>0</v>
      </c>
      <c r="CQ9" s="12">
        <v>6.666666666666667</v>
      </c>
      <c r="CR9" s="12">
        <v>0</v>
      </c>
      <c r="CS9" s="12">
        <v>0</v>
      </c>
      <c r="CT9" s="12">
        <v>-2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-3</v>
      </c>
      <c r="DA9" s="12">
        <v>0</v>
      </c>
      <c r="DB9" s="12">
        <v>-8</v>
      </c>
      <c r="DC9" s="12">
        <v>0</v>
      </c>
    </row>
    <row r="10" spans="1:107" ht="16.5" x14ac:dyDescent="0.15">
      <c r="A10" s="9" t="s">
        <v>68</v>
      </c>
      <c r="B10" s="3">
        <v>0</v>
      </c>
      <c r="C10" s="3">
        <v>1</v>
      </c>
      <c r="D10" s="3">
        <v>0</v>
      </c>
      <c r="E10" s="3">
        <v>1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1</v>
      </c>
      <c r="Q10" s="3">
        <v>0</v>
      </c>
      <c r="S10" s="9" t="s">
        <v>68</v>
      </c>
      <c r="T10" s="3">
        <v>0</v>
      </c>
      <c r="U10" s="3">
        <v>0</v>
      </c>
      <c r="V10" s="3">
        <v>0</v>
      </c>
      <c r="W10" s="3">
        <v>3</v>
      </c>
      <c r="X10" s="3">
        <v>0</v>
      </c>
      <c r="Y10" s="3">
        <v>0</v>
      </c>
      <c r="Z10" s="3">
        <v>1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2</v>
      </c>
      <c r="AH10" s="3">
        <v>0</v>
      </c>
      <c r="AI10" s="3">
        <v>0</v>
      </c>
      <c r="AK10" s="9" t="s">
        <v>68</v>
      </c>
      <c r="AL10" s="3">
        <v>0</v>
      </c>
      <c r="AM10" s="3">
        <v>4</v>
      </c>
      <c r="AN10" s="3">
        <v>0</v>
      </c>
      <c r="AO10" s="3">
        <v>2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8</v>
      </c>
      <c r="BA10" s="3">
        <v>0</v>
      </c>
      <c r="BC10" s="9" t="s">
        <v>68</v>
      </c>
      <c r="BD10" s="3">
        <v>0</v>
      </c>
      <c r="BE10" s="3">
        <v>0</v>
      </c>
      <c r="BF10" s="3">
        <v>0</v>
      </c>
      <c r="BG10" s="3">
        <v>-12</v>
      </c>
      <c r="BH10" s="3">
        <v>0</v>
      </c>
      <c r="BI10" s="3">
        <v>0</v>
      </c>
      <c r="BJ10" s="3">
        <v>-5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</v>
      </c>
      <c r="BQ10" s="3">
        <v>-8</v>
      </c>
      <c r="BR10" s="3">
        <v>0</v>
      </c>
      <c r="BS10" s="3">
        <v>0</v>
      </c>
      <c r="BU10" s="9" t="s">
        <v>68</v>
      </c>
      <c r="BV10" s="11">
        <v>0</v>
      </c>
      <c r="BW10" s="11">
        <v>1</v>
      </c>
      <c r="BX10" s="11">
        <v>0</v>
      </c>
      <c r="BY10" s="11">
        <v>0.25</v>
      </c>
      <c r="BZ10" s="11">
        <v>0</v>
      </c>
      <c r="CA10" s="11">
        <v>0</v>
      </c>
      <c r="CB10" s="11">
        <v>-1</v>
      </c>
      <c r="CC10" s="11">
        <v>0</v>
      </c>
      <c r="CD10" s="11">
        <v>0</v>
      </c>
      <c r="CE10" s="11">
        <v>0</v>
      </c>
      <c r="CF10" s="11">
        <v>0</v>
      </c>
      <c r="CG10" s="11">
        <v>0</v>
      </c>
      <c r="CH10" s="11">
        <v>0</v>
      </c>
      <c r="CI10" s="11">
        <v>-1</v>
      </c>
      <c r="CJ10" s="11">
        <v>1</v>
      </c>
      <c r="CK10" s="11">
        <v>0</v>
      </c>
      <c r="CM10" s="9" t="s">
        <v>68</v>
      </c>
      <c r="CN10" s="12">
        <v>0</v>
      </c>
      <c r="CO10" s="12">
        <v>4</v>
      </c>
      <c r="CP10" s="12">
        <v>0</v>
      </c>
      <c r="CQ10" s="12">
        <v>-2.5</v>
      </c>
      <c r="CR10" s="12">
        <v>0</v>
      </c>
      <c r="CS10" s="12">
        <v>0</v>
      </c>
      <c r="CT10" s="12">
        <v>-5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-4</v>
      </c>
      <c r="DB10" s="12">
        <v>8</v>
      </c>
      <c r="DC10" s="12">
        <v>0</v>
      </c>
    </row>
    <row r="11" spans="1:107" ht="16.5" x14ac:dyDescent="0.15">
      <c r="A11" s="9" t="s">
        <v>69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9" t="s">
        <v>69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K11" s="9" t="s">
        <v>69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C11" s="9" t="s">
        <v>69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U11" s="9" t="s">
        <v>69</v>
      </c>
      <c r="BV11" s="11">
        <v>0</v>
      </c>
      <c r="BW11" s="11">
        <v>0</v>
      </c>
      <c r="BX11" s="11">
        <v>0</v>
      </c>
      <c r="BY11" s="11">
        <v>0</v>
      </c>
      <c r="BZ11" s="11">
        <v>0</v>
      </c>
      <c r="CA11" s="11">
        <v>0</v>
      </c>
      <c r="CB11" s="11">
        <v>0</v>
      </c>
      <c r="CC11" s="11">
        <v>0</v>
      </c>
      <c r="CD11" s="11">
        <v>0</v>
      </c>
      <c r="CE11" s="11">
        <v>0</v>
      </c>
      <c r="CF11" s="11">
        <v>0</v>
      </c>
      <c r="CG11" s="11">
        <v>0</v>
      </c>
      <c r="CH11" s="11">
        <v>0</v>
      </c>
      <c r="CI11" s="11">
        <v>0</v>
      </c>
      <c r="CJ11" s="11">
        <v>0</v>
      </c>
      <c r="CK11" s="11">
        <v>0</v>
      </c>
      <c r="CM11" s="9" t="s">
        <v>69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</row>
    <row r="12" spans="1:107" ht="16.5" x14ac:dyDescent="0.15">
      <c r="A12" s="9" t="s">
        <v>70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S12" s="9" t="s">
        <v>70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K12" s="9" t="s">
        <v>70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C12" s="9" t="s">
        <v>70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U12" s="9" t="s">
        <v>70</v>
      </c>
      <c r="BV12" s="11">
        <v>0</v>
      </c>
      <c r="BW12" s="11">
        <v>0</v>
      </c>
      <c r="BX12" s="11">
        <v>0</v>
      </c>
      <c r="BY12" s="11">
        <v>0</v>
      </c>
      <c r="BZ12" s="11">
        <v>0</v>
      </c>
      <c r="CA12" s="11">
        <v>0</v>
      </c>
      <c r="CB12" s="11">
        <v>0</v>
      </c>
      <c r="CC12" s="11">
        <v>0</v>
      </c>
      <c r="CD12" s="11">
        <v>0</v>
      </c>
      <c r="CE12" s="11">
        <v>0</v>
      </c>
      <c r="CF12" s="11">
        <v>0</v>
      </c>
      <c r="CG12" s="11">
        <v>0</v>
      </c>
      <c r="CH12" s="11">
        <v>0</v>
      </c>
      <c r="CI12" s="11">
        <v>0</v>
      </c>
      <c r="CJ12" s="11">
        <v>0</v>
      </c>
      <c r="CK12" s="11">
        <v>0</v>
      </c>
      <c r="CM12" s="9" t="s">
        <v>70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</row>
    <row r="13" spans="1:107" ht="16.5" x14ac:dyDescent="0.15">
      <c r="A13" s="9" t="s">
        <v>71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S13" s="9" t="s">
        <v>71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K13" s="9" t="s">
        <v>71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C13" s="9" t="s">
        <v>71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U13" s="9" t="s">
        <v>71</v>
      </c>
      <c r="BV13" s="11">
        <v>0</v>
      </c>
      <c r="BW13" s="11">
        <v>0</v>
      </c>
      <c r="BX13" s="11">
        <v>0</v>
      </c>
      <c r="BY13" s="11">
        <v>0</v>
      </c>
      <c r="BZ13" s="11">
        <v>0</v>
      </c>
      <c r="CA13" s="11">
        <v>0</v>
      </c>
      <c r="CB13" s="11">
        <v>0</v>
      </c>
      <c r="CC13" s="11">
        <v>0</v>
      </c>
      <c r="CD13" s="11">
        <v>0</v>
      </c>
      <c r="CE13" s="11">
        <v>0</v>
      </c>
      <c r="CF13" s="11">
        <v>0</v>
      </c>
      <c r="CG13" s="11">
        <v>0</v>
      </c>
      <c r="CH13" s="11">
        <v>0</v>
      </c>
      <c r="CI13" s="11">
        <v>0</v>
      </c>
      <c r="CJ13" s="11">
        <v>0</v>
      </c>
      <c r="CK13" s="11">
        <v>0</v>
      </c>
      <c r="CM13" s="9" t="s">
        <v>71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</row>
    <row r="14" spans="1:107" ht="16.5" x14ac:dyDescent="0.15">
      <c r="A14" s="9" t="s">
        <v>72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2</v>
      </c>
      <c r="Q14" s="3">
        <v>0</v>
      </c>
      <c r="S14" s="9" t="s">
        <v>72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1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3</v>
      </c>
      <c r="AI14" s="3">
        <v>0</v>
      </c>
      <c r="AK14" s="9" t="s">
        <v>72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6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12</v>
      </c>
      <c r="BA14" s="3">
        <v>0</v>
      </c>
      <c r="BC14" s="9" t="s">
        <v>72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-3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-14</v>
      </c>
      <c r="BS14" s="3">
        <v>0</v>
      </c>
      <c r="BU14" s="9" t="s">
        <v>72</v>
      </c>
      <c r="BV14" s="11">
        <v>0</v>
      </c>
      <c r="BW14" s="11">
        <v>0</v>
      </c>
      <c r="BX14" s="11">
        <v>0</v>
      </c>
      <c r="BY14" s="11">
        <v>0</v>
      </c>
      <c r="BZ14" s="11">
        <v>0</v>
      </c>
      <c r="CA14" s="11">
        <v>0</v>
      </c>
      <c r="CB14" s="11">
        <v>1</v>
      </c>
      <c r="CC14" s="11">
        <v>-1</v>
      </c>
      <c r="CD14" s="11">
        <v>0</v>
      </c>
      <c r="CE14" s="11">
        <v>0</v>
      </c>
      <c r="CF14" s="11">
        <v>0</v>
      </c>
      <c r="CG14" s="11">
        <v>0</v>
      </c>
      <c r="CH14" s="11">
        <v>0</v>
      </c>
      <c r="CI14" s="11">
        <v>0</v>
      </c>
      <c r="CJ14" s="11">
        <v>0.4</v>
      </c>
      <c r="CK14" s="11">
        <v>0</v>
      </c>
      <c r="CM14" s="9" t="s">
        <v>72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6</v>
      </c>
      <c r="CU14" s="12">
        <v>-3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-0.4</v>
      </c>
      <c r="DC14" s="12">
        <v>0</v>
      </c>
    </row>
    <row r="15" spans="1:107" ht="16.5" x14ac:dyDescent="0.15">
      <c r="A15" s="9" t="s">
        <v>73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S15" s="9" t="s">
        <v>73</v>
      </c>
      <c r="T15" s="3">
        <v>2</v>
      </c>
      <c r="U15" s="3">
        <v>1</v>
      </c>
      <c r="V15" s="3">
        <v>0</v>
      </c>
      <c r="W15" s="3">
        <v>1</v>
      </c>
      <c r="X15" s="3">
        <v>0</v>
      </c>
      <c r="Y15" s="3">
        <v>0</v>
      </c>
      <c r="Z15" s="3">
        <v>2</v>
      </c>
      <c r="AA15" s="3">
        <v>0</v>
      </c>
      <c r="AB15" s="3">
        <v>2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1</v>
      </c>
      <c r="AI15" s="3">
        <v>0</v>
      </c>
      <c r="AK15" s="9" t="s">
        <v>73</v>
      </c>
      <c r="AL15" s="3">
        <v>3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C15" s="9" t="s">
        <v>73</v>
      </c>
      <c r="BD15" s="3">
        <v>-12</v>
      </c>
      <c r="BE15" s="3">
        <v>-8</v>
      </c>
      <c r="BF15" s="3">
        <v>0</v>
      </c>
      <c r="BG15" s="3">
        <v>-8</v>
      </c>
      <c r="BH15" s="3">
        <v>0</v>
      </c>
      <c r="BI15" s="3">
        <v>0</v>
      </c>
      <c r="BJ15" s="3">
        <v>-9</v>
      </c>
      <c r="BK15" s="3">
        <v>0</v>
      </c>
      <c r="BL15" s="3">
        <v>-8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-13</v>
      </c>
      <c r="BS15" s="3">
        <v>0</v>
      </c>
      <c r="BU15" s="9" t="s">
        <v>73</v>
      </c>
      <c r="BV15" s="11">
        <v>0.33333333333333331</v>
      </c>
      <c r="BW15" s="11">
        <v>-1</v>
      </c>
      <c r="BX15" s="11">
        <v>0</v>
      </c>
      <c r="BY15" s="11">
        <v>-1</v>
      </c>
      <c r="BZ15" s="11">
        <v>0</v>
      </c>
      <c r="CA15" s="11">
        <v>0</v>
      </c>
      <c r="CB15" s="11">
        <v>-1</v>
      </c>
      <c r="CC15" s="11">
        <v>0</v>
      </c>
      <c r="CD15" s="11">
        <v>-1</v>
      </c>
      <c r="CE15" s="11">
        <v>0</v>
      </c>
      <c r="CF15" s="11">
        <v>0</v>
      </c>
      <c r="CG15" s="11">
        <v>0</v>
      </c>
      <c r="CH15" s="11">
        <v>0</v>
      </c>
      <c r="CI15" s="11">
        <v>0</v>
      </c>
      <c r="CJ15" s="11">
        <v>-1</v>
      </c>
      <c r="CK15" s="11">
        <v>0</v>
      </c>
      <c r="CM15" s="9" t="s">
        <v>73</v>
      </c>
      <c r="CN15" s="12">
        <v>-3</v>
      </c>
      <c r="CO15" s="12">
        <v>-8</v>
      </c>
      <c r="CP15" s="12">
        <v>0</v>
      </c>
      <c r="CQ15" s="12">
        <v>-8</v>
      </c>
      <c r="CR15" s="12">
        <v>0</v>
      </c>
      <c r="CS15" s="12">
        <v>0</v>
      </c>
      <c r="CT15" s="12">
        <v>-4.5</v>
      </c>
      <c r="CU15" s="12">
        <v>0</v>
      </c>
      <c r="CV15" s="12">
        <v>-4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-13</v>
      </c>
      <c r="DC15" s="12">
        <v>0</v>
      </c>
    </row>
    <row r="16" spans="1:107" ht="16.5" x14ac:dyDescent="0.15">
      <c r="A16" s="9" t="s">
        <v>74</v>
      </c>
      <c r="B16" s="3">
        <v>0</v>
      </c>
      <c r="C16" s="3">
        <v>2</v>
      </c>
      <c r="D16" s="3">
        <v>0</v>
      </c>
      <c r="E16" s="3">
        <v>0</v>
      </c>
      <c r="F16" s="3">
        <v>0</v>
      </c>
      <c r="G16" s="3">
        <v>0</v>
      </c>
      <c r="H16" s="3">
        <v>2</v>
      </c>
      <c r="I16" s="3">
        <v>0</v>
      </c>
      <c r="J16" s="3">
        <v>1</v>
      </c>
      <c r="K16" s="3">
        <v>0</v>
      </c>
      <c r="L16" s="3">
        <v>0</v>
      </c>
      <c r="M16" s="3">
        <v>0</v>
      </c>
      <c r="N16" s="3">
        <v>2</v>
      </c>
      <c r="O16" s="3">
        <v>0</v>
      </c>
      <c r="P16" s="3">
        <v>0</v>
      </c>
      <c r="Q16" s="3">
        <v>0</v>
      </c>
      <c r="S16" s="9" t="s">
        <v>74</v>
      </c>
      <c r="T16" s="3">
        <v>2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1</v>
      </c>
      <c r="AA16" s="3">
        <v>1</v>
      </c>
      <c r="AB16" s="3">
        <v>0</v>
      </c>
      <c r="AC16" s="3">
        <v>0</v>
      </c>
      <c r="AD16" s="3">
        <v>0</v>
      </c>
      <c r="AE16" s="3">
        <v>0</v>
      </c>
      <c r="AF16" s="3">
        <v>3</v>
      </c>
      <c r="AG16" s="3">
        <v>1</v>
      </c>
      <c r="AH16" s="3">
        <v>0</v>
      </c>
      <c r="AI16" s="3">
        <v>0</v>
      </c>
      <c r="AK16" s="9" t="s">
        <v>74</v>
      </c>
      <c r="AL16" s="3">
        <v>0</v>
      </c>
      <c r="AM16" s="3">
        <v>11</v>
      </c>
      <c r="AN16" s="3">
        <v>0</v>
      </c>
      <c r="AO16" s="3">
        <v>0</v>
      </c>
      <c r="AP16" s="3">
        <v>0</v>
      </c>
      <c r="AQ16" s="3">
        <v>0</v>
      </c>
      <c r="AR16" s="3">
        <v>8</v>
      </c>
      <c r="AS16" s="3">
        <v>0</v>
      </c>
      <c r="AT16" s="3">
        <v>8</v>
      </c>
      <c r="AU16" s="3">
        <v>0</v>
      </c>
      <c r="AV16" s="3">
        <v>0</v>
      </c>
      <c r="AW16" s="3">
        <v>0</v>
      </c>
      <c r="AX16" s="3">
        <v>12</v>
      </c>
      <c r="AY16" s="3">
        <v>0</v>
      </c>
      <c r="AZ16" s="3">
        <v>0</v>
      </c>
      <c r="BA16" s="3">
        <v>0</v>
      </c>
      <c r="BC16" s="9" t="s">
        <v>74</v>
      </c>
      <c r="BD16" s="3">
        <v>-12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-3</v>
      </c>
      <c r="BK16" s="3">
        <v>-8</v>
      </c>
      <c r="BL16" s="3">
        <v>0</v>
      </c>
      <c r="BM16" s="3">
        <v>0</v>
      </c>
      <c r="BN16" s="3">
        <v>0</v>
      </c>
      <c r="BO16" s="3">
        <v>0</v>
      </c>
      <c r="BP16" s="3">
        <v>-14</v>
      </c>
      <c r="BQ16" s="3">
        <v>-13</v>
      </c>
      <c r="BR16" s="3">
        <v>0</v>
      </c>
      <c r="BS16" s="3">
        <v>0</v>
      </c>
      <c r="BU16" s="9" t="s">
        <v>74</v>
      </c>
      <c r="BV16" s="11">
        <v>-1</v>
      </c>
      <c r="BW16" s="11">
        <v>1</v>
      </c>
      <c r="BX16" s="11">
        <v>0</v>
      </c>
      <c r="BY16" s="11">
        <v>0</v>
      </c>
      <c r="BZ16" s="11">
        <v>0</v>
      </c>
      <c r="CA16" s="11">
        <v>0</v>
      </c>
      <c r="CB16" s="11">
        <v>0.66666666666666663</v>
      </c>
      <c r="CC16" s="11">
        <v>-1</v>
      </c>
      <c r="CD16" s="11">
        <v>1</v>
      </c>
      <c r="CE16" s="11">
        <v>0</v>
      </c>
      <c r="CF16" s="11">
        <v>0</v>
      </c>
      <c r="CG16" s="11">
        <v>0</v>
      </c>
      <c r="CH16" s="11">
        <v>0.4</v>
      </c>
      <c r="CI16" s="11">
        <v>-1</v>
      </c>
      <c r="CJ16" s="11">
        <v>0</v>
      </c>
      <c r="CK16" s="11">
        <v>0</v>
      </c>
      <c r="CM16" s="9" t="s">
        <v>74</v>
      </c>
      <c r="CN16" s="12">
        <v>-6</v>
      </c>
      <c r="CO16" s="12">
        <v>5.5</v>
      </c>
      <c r="CP16" s="12">
        <v>0</v>
      </c>
      <c r="CQ16" s="12">
        <v>0</v>
      </c>
      <c r="CR16" s="12">
        <v>0</v>
      </c>
      <c r="CS16" s="12">
        <v>0</v>
      </c>
      <c r="CT16" s="12">
        <v>1.6666666666666667</v>
      </c>
      <c r="CU16" s="12">
        <v>-8</v>
      </c>
      <c r="CV16" s="12">
        <v>8</v>
      </c>
      <c r="CW16" s="12">
        <v>0</v>
      </c>
      <c r="CX16" s="12">
        <v>0</v>
      </c>
      <c r="CY16" s="12">
        <v>0</v>
      </c>
      <c r="CZ16" s="12">
        <v>-0.4</v>
      </c>
      <c r="DA16" s="12">
        <v>-13</v>
      </c>
      <c r="DB16" s="12">
        <v>0</v>
      </c>
      <c r="DC16" s="12">
        <v>0</v>
      </c>
    </row>
    <row r="17" spans="1:107" ht="16.5" x14ac:dyDescent="0.15">
      <c r="A17" s="9" t="s">
        <v>75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S17" s="9" t="s">
        <v>75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K17" s="9" t="s">
        <v>75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C17" s="9" t="s">
        <v>75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U17" s="9" t="s">
        <v>75</v>
      </c>
      <c r="BV17" s="11">
        <v>0</v>
      </c>
      <c r="BW17" s="11">
        <v>0</v>
      </c>
      <c r="BX17" s="11">
        <v>0</v>
      </c>
      <c r="BY17" s="11">
        <v>0</v>
      </c>
      <c r="BZ17" s="11">
        <v>0</v>
      </c>
      <c r="CA17" s="11">
        <v>0</v>
      </c>
      <c r="CB17" s="11">
        <v>0</v>
      </c>
      <c r="CC17" s="11">
        <v>0</v>
      </c>
      <c r="CD17" s="11">
        <v>0</v>
      </c>
      <c r="CE17" s="11">
        <v>0</v>
      </c>
      <c r="CF17" s="11">
        <v>0</v>
      </c>
      <c r="CG17" s="11">
        <v>0</v>
      </c>
      <c r="CH17" s="11">
        <v>0</v>
      </c>
      <c r="CI17" s="11">
        <v>0</v>
      </c>
      <c r="CJ17" s="11">
        <v>0</v>
      </c>
      <c r="CK17" s="11">
        <v>0</v>
      </c>
      <c r="CM17" s="9" t="s">
        <v>75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</row>
    <row r="18" spans="1:107" x14ac:dyDescent="0.15"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</row>
  </sheetData>
  <phoneticPr fontId="1" type="noConversion"/>
  <conditionalFormatting sqref="B2:Q17">
    <cfRule type="cellIs" dxfId="9" priority="10" operator="greaterThan">
      <formula>0</formula>
    </cfRule>
  </conditionalFormatting>
  <conditionalFormatting sqref="T2:AI17">
    <cfRule type="cellIs" dxfId="8" priority="9" operator="greaterThan">
      <formula>0</formula>
    </cfRule>
  </conditionalFormatting>
  <conditionalFormatting sqref="AL2:BA17">
    <cfRule type="cellIs" dxfId="7" priority="8" operator="greaterThan">
      <formula>0</formula>
    </cfRule>
    <cfRule type="cellIs" dxfId="6" priority="6" operator="greaterThan">
      <formula>0</formula>
    </cfRule>
    <cfRule type="cellIs" dxfId="5" priority="5" operator="greaterThan">
      <formula>0</formula>
    </cfRule>
  </conditionalFormatting>
  <conditionalFormatting sqref="BD2:BS17">
    <cfRule type="cellIs" dxfId="4" priority="7" operator="lessThan">
      <formula>0</formula>
    </cfRule>
  </conditionalFormatting>
  <conditionalFormatting sqref="BV2:CK17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CN2:DC17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成员信息</vt:lpstr>
      <vt:lpstr>比赛数据-双打</vt:lpstr>
      <vt:lpstr>比赛数据-单打</vt:lpstr>
      <vt:lpstr>详细分析</vt:lpstr>
      <vt:lpstr>成员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2015-03-14T07:40:18Z</dcterms:modified>
</cp:coreProperties>
</file>