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Xiao\Desktop\"/>
    </mc:Choice>
  </mc:AlternateContent>
  <bookViews>
    <workbookView xWindow="0" yWindow="0" windowWidth="20730" windowHeight="11760"/>
  </bookViews>
  <sheets>
    <sheet name="成员信息" sheetId="1" r:id="rId1"/>
    <sheet name="比赛数据-双打" sheetId="2" r:id="rId2"/>
    <sheet name="比赛数据-单打" sheetId="3" r:id="rId3"/>
  </sheets>
  <functionGroups builtInGroupCount="18"/>
  <definedNames>
    <definedName name="_xlnm._FilterDatabase" localSheetId="1" hidden="1">'比赛数据-双打'!$L$1:$Q$1</definedName>
    <definedName name="_xlnm._FilterDatabase" localSheetId="0" hidden="1">成员信息!$E$1:$J$1</definedName>
    <definedName name="成员">成员信息!$A$2:$A$20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3" i="3"/>
  <c r="A2" i="3" l="1"/>
  <c r="A2" i="2"/>
  <c r="K36" i="1" l="1"/>
  <c r="H36" i="1" s="1"/>
  <c r="K7" i="1"/>
  <c r="K22" i="1"/>
  <c r="K26" i="1"/>
  <c r="K6" i="1"/>
  <c r="K5" i="1"/>
  <c r="K4" i="1"/>
  <c r="K17" i="1"/>
  <c r="K9" i="1"/>
  <c r="K2" i="1"/>
  <c r="K11" i="1"/>
  <c r="K19" i="1"/>
  <c r="K14" i="1"/>
  <c r="K28" i="1"/>
  <c r="K12" i="1"/>
  <c r="K18" i="1"/>
  <c r="K21" i="1"/>
  <c r="K3" i="1"/>
  <c r="K8" i="1"/>
  <c r="K20" i="1"/>
  <c r="K25" i="1"/>
  <c r="K16" i="1"/>
  <c r="K15" i="1"/>
  <c r="K13" i="1"/>
  <c r="K10" i="1"/>
  <c r="K24" i="1"/>
  <c r="K27" i="1"/>
  <c r="K29" i="1"/>
  <c r="H29" i="1" s="1"/>
  <c r="K30" i="1"/>
  <c r="H30" i="1" s="1"/>
  <c r="K31" i="1"/>
  <c r="H31" i="1" s="1"/>
  <c r="K32" i="1"/>
  <c r="H32" i="1" s="1"/>
  <c r="K33" i="1"/>
  <c r="H33" i="1" s="1"/>
  <c r="K34" i="1"/>
  <c r="H34" i="1" s="1"/>
  <c r="K35" i="1"/>
  <c r="H35" i="1" s="1"/>
  <c r="AE3" i="1"/>
  <c r="AE4" i="1"/>
  <c r="AE5" i="1"/>
  <c r="AE6" i="1"/>
  <c r="AE7" i="1"/>
  <c r="AB7" i="1" s="1"/>
  <c r="AE8" i="1"/>
  <c r="AB8" i="1" s="1"/>
  <c r="AE9" i="1"/>
  <c r="AB9" i="1" s="1"/>
  <c r="AE10" i="1"/>
  <c r="AB10" i="1" s="1"/>
  <c r="AE11" i="1"/>
  <c r="AB11" i="1" s="1"/>
  <c r="AE12" i="1"/>
  <c r="AB12" i="1" s="1"/>
  <c r="AE13" i="1"/>
  <c r="AB13" i="1" s="1"/>
  <c r="AE14" i="1"/>
  <c r="AB14" i="1" s="1"/>
  <c r="AE15" i="1"/>
  <c r="AB15" i="1" s="1"/>
  <c r="AE16" i="1"/>
  <c r="AB16" i="1" s="1"/>
  <c r="AE17" i="1"/>
  <c r="AB17" i="1" s="1"/>
  <c r="AE18" i="1"/>
  <c r="AB18" i="1" s="1"/>
  <c r="AE19" i="1"/>
  <c r="AB19" i="1" s="1"/>
  <c r="AE20" i="1"/>
  <c r="AB20" i="1" s="1"/>
  <c r="AE21" i="1"/>
  <c r="AB21" i="1" s="1"/>
  <c r="AE22" i="1"/>
  <c r="AB22" i="1" s="1"/>
  <c r="AE23" i="1"/>
  <c r="AB23" i="1" s="1"/>
  <c r="AE24" i="1"/>
  <c r="AB24" i="1" s="1"/>
  <c r="AE25" i="1"/>
  <c r="AB25" i="1" s="1"/>
  <c r="AE26" i="1"/>
  <c r="AB26" i="1" s="1"/>
  <c r="AE2" i="1"/>
  <c r="AB2" i="1" s="1"/>
  <c r="K23" i="1"/>
  <c r="H20" i="1" l="1"/>
  <c r="H2" i="1"/>
  <c r="H11" i="1"/>
  <c r="H5" i="1"/>
  <c r="H8" i="1"/>
  <c r="H6" i="1"/>
  <c r="H19" i="1"/>
  <c r="AB5" i="1"/>
  <c r="H10" i="1"/>
  <c r="H28" i="1"/>
  <c r="AB3" i="1"/>
  <c r="AB4" i="1"/>
  <c r="H25" i="1"/>
  <c r="H16" i="1"/>
  <c r="H9" i="1"/>
  <c r="H27" i="1"/>
  <c r="H17" i="1"/>
  <c r="H22" i="1"/>
  <c r="H13" i="1"/>
  <c r="H7" i="1"/>
  <c r="H26" i="1"/>
  <c r="H18" i="1"/>
  <c r="AB6" i="1"/>
  <c r="H14" i="1"/>
  <c r="H15" i="1"/>
  <c r="H4" i="1"/>
  <c r="H12" i="1"/>
  <c r="H21" i="1"/>
  <c r="H23" i="1"/>
  <c r="H24" i="1"/>
  <c r="H3" i="1"/>
</calcChain>
</file>

<file path=xl/sharedStrings.xml><?xml version="1.0" encoding="utf-8"?>
<sst xmlns="http://schemas.openxmlformats.org/spreadsheetml/2006/main" count="174" uniqueCount="71">
  <si>
    <t>日期</t>
    <phoneticPr fontId="1" type="noConversion"/>
  </si>
  <si>
    <t>XJ-谢军</t>
    <phoneticPr fontId="1" type="noConversion"/>
  </si>
  <si>
    <t>ZX-周霄</t>
    <phoneticPr fontId="1" type="noConversion"/>
  </si>
  <si>
    <t>BX-白黠</t>
    <phoneticPr fontId="1" type="noConversion"/>
  </si>
  <si>
    <t>MX-老龙</t>
    <phoneticPr fontId="1" type="noConversion"/>
  </si>
  <si>
    <t>XG-孙小光</t>
    <phoneticPr fontId="1" type="noConversion"/>
  </si>
  <si>
    <t>HJ-李辉军</t>
    <phoneticPr fontId="1" type="noConversion"/>
  </si>
  <si>
    <t>YF-尹闫峰</t>
    <phoneticPr fontId="1" type="noConversion"/>
  </si>
  <si>
    <t>WX-王欣</t>
    <phoneticPr fontId="1" type="noConversion"/>
  </si>
  <si>
    <t>MM-陌陌</t>
    <phoneticPr fontId="1" type="noConversion"/>
  </si>
  <si>
    <t>BB-波波</t>
    <phoneticPr fontId="1" type="noConversion"/>
  </si>
  <si>
    <t>比分</t>
    <phoneticPr fontId="1" type="noConversion"/>
  </si>
  <si>
    <t>对阵一</t>
    <phoneticPr fontId="1" type="noConversion"/>
  </si>
  <si>
    <t>对阵二</t>
    <phoneticPr fontId="1" type="noConversion"/>
  </si>
  <si>
    <t>XC-小草</t>
    <phoneticPr fontId="1" type="noConversion"/>
  </si>
  <si>
    <t>组合一</t>
    <phoneticPr fontId="1" type="noConversion"/>
  </si>
  <si>
    <t>组合二</t>
    <phoneticPr fontId="1" type="noConversion"/>
  </si>
  <si>
    <t>YW-陈昱伟</t>
    <phoneticPr fontId="1" type="noConversion"/>
  </si>
  <si>
    <t>排名</t>
    <phoneticPr fontId="1" type="noConversion"/>
  </si>
  <si>
    <t>胜场</t>
    <phoneticPr fontId="1" type="noConversion"/>
  </si>
  <si>
    <t>负场</t>
    <phoneticPr fontId="1" type="noConversion"/>
  </si>
  <si>
    <t>总胜分</t>
    <phoneticPr fontId="1" type="noConversion"/>
  </si>
  <si>
    <t>总负分</t>
    <phoneticPr fontId="1" type="noConversion"/>
  </si>
  <si>
    <t>胜率</t>
    <phoneticPr fontId="1" type="noConversion"/>
  </si>
  <si>
    <t>总场次</t>
    <phoneticPr fontId="1" type="noConversion"/>
  </si>
  <si>
    <t>成员</t>
    <phoneticPr fontId="1" type="noConversion"/>
  </si>
  <si>
    <t>双打实力榜</t>
    <phoneticPr fontId="1" type="noConversion"/>
  </si>
  <si>
    <t>单打实力榜</t>
    <phoneticPr fontId="1" type="noConversion"/>
  </si>
  <si>
    <t>XJ-谢军</t>
  </si>
  <si>
    <t>ZX-周霄</t>
  </si>
  <si>
    <t>YW-陈昱伟</t>
  </si>
  <si>
    <t>YH-戴银华</t>
  </si>
  <si>
    <t>YH-戴银华</t>
    <phoneticPr fontId="1" type="noConversion"/>
  </si>
  <si>
    <t>YF-尹闫峰</t>
  </si>
  <si>
    <t>ZS-钻石</t>
  </si>
  <si>
    <t>ZS-钻石</t>
    <phoneticPr fontId="1" type="noConversion"/>
  </si>
  <si>
    <t>JM-老罗</t>
  </si>
  <si>
    <t>JM-老罗</t>
    <phoneticPr fontId="1" type="noConversion"/>
  </si>
  <si>
    <t>MX-老龙</t>
  </si>
  <si>
    <t>WX-王欣</t>
  </si>
  <si>
    <t>HJ-李辉军</t>
  </si>
  <si>
    <t>XJ</t>
    <phoneticPr fontId="1" type="noConversion"/>
  </si>
  <si>
    <t>YF+YH</t>
    <phoneticPr fontId="1" type="noConversion"/>
  </si>
  <si>
    <t>YF+XJ</t>
    <phoneticPr fontId="1" type="noConversion"/>
  </si>
  <si>
    <t>YH+ZS</t>
    <phoneticPr fontId="1" type="noConversion"/>
  </si>
  <si>
    <t>YW+YF</t>
    <phoneticPr fontId="1" type="noConversion"/>
  </si>
  <si>
    <t>WX+ZS</t>
    <phoneticPr fontId="1" type="noConversion"/>
  </si>
  <si>
    <t>MX+YH</t>
    <phoneticPr fontId="1" type="noConversion"/>
  </si>
  <si>
    <t>ZX+HJ</t>
    <phoneticPr fontId="1" type="noConversion"/>
  </si>
  <si>
    <t>JM+XJ</t>
    <phoneticPr fontId="1" type="noConversion"/>
  </si>
  <si>
    <t>JM+YF</t>
    <phoneticPr fontId="1" type="noConversion"/>
  </si>
  <si>
    <t>JM+ZX</t>
    <phoneticPr fontId="1" type="noConversion"/>
  </si>
  <si>
    <t>WX+MX</t>
    <phoneticPr fontId="1" type="noConversion"/>
  </si>
  <si>
    <t>JM+YW</t>
    <phoneticPr fontId="1" type="noConversion"/>
  </si>
  <si>
    <t>ZX+WX</t>
    <phoneticPr fontId="1" type="noConversion"/>
  </si>
  <si>
    <t>YW</t>
    <phoneticPr fontId="1" type="noConversion"/>
  </si>
  <si>
    <t>YF</t>
    <phoneticPr fontId="1" type="noConversion"/>
  </si>
  <si>
    <t>YF+ZS</t>
    <phoneticPr fontId="1" type="noConversion"/>
  </si>
  <si>
    <t>XJ+YH</t>
    <phoneticPr fontId="1" type="noConversion"/>
  </si>
  <si>
    <t>ZX+YH</t>
    <phoneticPr fontId="1" type="noConversion"/>
  </si>
  <si>
    <t>ZX+YF</t>
    <phoneticPr fontId="1" type="noConversion"/>
  </si>
  <si>
    <t>JM+ZS</t>
    <phoneticPr fontId="1" type="noConversion"/>
  </si>
  <si>
    <t>ZX+ZS</t>
    <phoneticPr fontId="1" type="noConversion"/>
  </si>
  <si>
    <t>XJ+ZS</t>
    <phoneticPr fontId="1" type="noConversion"/>
  </si>
  <si>
    <t>ZX+MX</t>
    <phoneticPr fontId="1" type="noConversion"/>
  </si>
  <si>
    <t>XJ+MX</t>
    <phoneticPr fontId="1" type="noConversion"/>
  </si>
  <si>
    <t>WX+YH</t>
    <phoneticPr fontId="1" type="noConversion"/>
  </si>
  <si>
    <t>JM+MX</t>
    <phoneticPr fontId="1" type="noConversion"/>
  </si>
  <si>
    <t>WX+YF</t>
    <phoneticPr fontId="1" type="noConversion"/>
  </si>
  <si>
    <t>ZX+XJ</t>
    <phoneticPr fontId="1" type="noConversion"/>
  </si>
  <si>
    <t>ZS+YW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</si>
</sst>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4"/>
      <color rgb="FFFF0000"/>
      <name val="隶书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98485136545808"/>
          <c:y val="3.9269081510494505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成员信息!$H$1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Ref>
              <c:f>成员信息!$E$2:$E$24</c:f>
              <c:strCache>
                <c:ptCount val="23"/>
                <c:pt idx="0">
                  <c:v>JM+MX</c:v>
                </c:pt>
                <c:pt idx="1">
                  <c:v>JM+ZX</c:v>
                </c:pt>
                <c:pt idx="2">
                  <c:v>ZX+ZS</c:v>
                </c:pt>
                <c:pt idx="3">
                  <c:v>JM+XJ</c:v>
                </c:pt>
                <c:pt idx="4">
                  <c:v>YF+XJ</c:v>
                </c:pt>
                <c:pt idx="5">
                  <c:v>ZX+YF</c:v>
                </c:pt>
                <c:pt idx="6">
                  <c:v>WX+ZS</c:v>
                </c:pt>
                <c:pt idx="7">
                  <c:v>ZX+MX</c:v>
                </c:pt>
                <c:pt idx="8">
                  <c:v>YW+YF</c:v>
                </c:pt>
                <c:pt idx="9">
                  <c:v>ZX+WX</c:v>
                </c:pt>
                <c:pt idx="10">
                  <c:v>YF+ZS</c:v>
                </c:pt>
                <c:pt idx="11">
                  <c:v>ZX+XJ</c:v>
                </c:pt>
                <c:pt idx="12">
                  <c:v>XJ+MX</c:v>
                </c:pt>
                <c:pt idx="13">
                  <c:v>ZX+HJ</c:v>
                </c:pt>
                <c:pt idx="14">
                  <c:v>JM+YF</c:v>
                </c:pt>
                <c:pt idx="15">
                  <c:v>ZS+YW</c:v>
                </c:pt>
                <c:pt idx="16">
                  <c:v>XJ+YH</c:v>
                </c:pt>
                <c:pt idx="17">
                  <c:v>WX+MX</c:v>
                </c:pt>
                <c:pt idx="18">
                  <c:v>YF+YH</c:v>
                </c:pt>
                <c:pt idx="19">
                  <c:v>ZX+YH</c:v>
                </c:pt>
                <c:pt idx="20">
                  <c:v>JM+ZS</c:v>
                </c:pt>
                <c:pt idx="21">
                  <c:v>XJ+ZS</c:v>
                </c:pt>
                <c:pt idx="22">
                  <c:v>WX+YH</c:v>
                </c:pt>
              </c:strCache>
            </c:strRef>
          </c:cat>
          <c:val>
            <c:numRef>
              <c:f>成员信息!$H$2:$H$24</c:f>
              <c:numCache>
                <c:formatCode>0.00%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0.66666666666666663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0.4</c:v>
                </c:pt>
                <c:pt idx="16">
                  <c:v>0.33333333333333331</c:v>
                </c:pt>
                <c:pt idx="17">
                  <c:v>0.25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242767840"/>
        <c:axId val="242773728"/>
      </c:barChart>
      <c:catAx>
        <c:axId val="24276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2773728"/>
        <c:crosses val="autoZero"/>
        <c:auto val="1"/>
        <c:lblAlgn val="ctr"/>
        <c:lblOffset val="100"/>
        <c:noMultiLvlLbl val="0"/>
      </c:catAx>
      <c:valAx>
        <c:axId val="2427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276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zh-CN">
                <a:solidFill>
                  <a:schemeClr val="lt1"/>
                </a:solidFill>
                <a:latin typeface="+mn-lt"/>
                <a:ea typeface="+mn-ea"/>
                <a:cs typeface="+mn-cs"/>
              </a:rPr>
              <a:t>配合场次</a:t>
            </a:r>
            <a:endParaRPr lang="zh-CN"/>
          </a:p>
        </c:rich>
      </c:tx>
      <c:layout>
        <c:manualLayout>
          <c:xMode val="edge"/>
          <c:yMode val="edge"/>
          <c:x val="0.44184578324856422"/>
          <c:y val="3.6773132048508482E-2"/>
        </c:manualLayout>
      </c:layout>
      <c:overlay val="0"/>
      <c:spPr>
        <a:gradFill rotWithShape="1"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成员信息!$K$1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成员信息!$E$2:$E$24</c:f>
              <c:strCache>
                <c:ptCount val="23"/>
                <c:pt idx="0">
                  <c:v>JM+MX</c:v>
                </c:pt>
                <c:pt idx="1">
                  <c:v>JM+ZX</c:v>
                </c:pt>
                <c:pt idx="2">
                  <c:v>ZX+ZS</c:v>
                </c:pt>
                <c:pt idx="3">
                  <c:v>JM+XJ</c:v>
                </c:pt>
                <c:pt idx="4">
                  <c:v>YF+XJ</c:v>
                </c:pt>
                <c:pt idx="5">
                  <c:v>ZX+YF</c:v>
                </c:pt>
                <c:pt idx="6">
                  <c:v>WX+ZS</c:v>
                </c:pt>
                <c:pt idx="7">
                  <c:v>ZX+MX</c:v>
                </c:pt>
                <c:pt idx="8">
                  <c:v>YW+YF</c:v>
                </c:pt>
                <c:pt idx="9">
                  <c:v>ZX+WX</c:v>
                </c:pt>
                <c:pt idx="10">
                  <c:v>YF+ZS</c:v>
                </c:pt>
                <c:pt idx="11">
                  <c:v>ZX+XJ</c:v>
                </c:pt>
                <c:pt idx="12">
                  <c:v>XJ+MX</c:v>
                </c:pt>
                <c:pt idx="13">
                  <c:v>ZX+HJ</c:v>
                </c:pt>
                <c:pt idx="14">
                  <c:v>JM+YF</c:v>
                </c:pt>
                <c:pt idx="15">
                  <c:v>ZS+YW</c:v>
                </c:pt>
                <c:pt idx="16">
                  <c:v>XJ+YH</c:v>
                </c:pt>
                <c:pt idx="17">
                  <c:v>WX+MX</c:v>
                </c:pt>
                <c:pt idx="18">
                  <c:v>YF+YH</c:v>
                </c:pt>
                <c:pt idx="19">
                  <c:v>ZX+YH</c:v>
                </c:pt>
                <c:pt idx="20">
                  <c:v>JM+ZS</c:v>
                </c:pt>
                <c:pt idx="21">
                  <c:v>XJ+ZS</c:v>
                </c:pt>
                <c:pt idx="22">
                  <c:v>WX+YH</c:v>
                </c:pt>
              </c:strCache>
            </c:strRef>
          </c:cat>
          <c:val>
            <c:numRef>
              <c:f>成员信息!$K$2:$K$24</c:f>
              <c:numCache>
                <c:formatCode>General</c:formatCode>
                <c:ptCount val="23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3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42888056"/>
        <c:axId val="242898680"/>
      </c:barChart>
      <c:catAx>
        <c:axId val="242888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2898680"/>
        <c:crosses val="autoZero"/>
        <c:auto val="1"/>
        <c:lblAlgn val="ctr"/>
        <c:lblOffset val="100"/>
        <c:noMultiLvlLbl val="0"/>
      </c:catAx>
      <c:valAx>
        <c:axId val="242898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28880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19649267602543"/>
          <c:y val="2.6364884465062726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238908015924686E-2"/>
          <c:y val="0.14149154662916993"/>
          <c:w val="0.90957099987138257"/>
          <c:h val="0.778542582402373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成员信息!$AB$1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成员信息!$Y$2:$Y$26</c:f>
              <c:strCache>
                <c:ptCount val="3"/>
                <c:pt idx="0">
                  <c:v>YW</c:v>
                </c:pt>
                <c:pt idx="1">
                  <c:v>YF</c:v>
                </c:pt>
                <c:pt idx="2">
                  <c:v>XJ</c:v>
                </c:pt>
              </c:strCache>
            </c:strRef>
          </c:cat>
          <c:val>
            <c:numRef>
              <c:f>成员信息!$AB$2:$AB$26</c:f>
              <c:numCache>
                <c:formatCode>0.00%</c:formatCode>
                <c:ptCount val="2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42914808"/>
        <c:axId val="242917240"/>
      </c:barChart>
      <c:catAx>
        <c:axId val="242914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2917240"/>
        <c:crosses val="autoZero"/>
        <c:auto val="1"/>
        <c:lblAlgn val="ctr"/>
        <c:lblOffset val="100"/>
        <c:noMultiLvlLbl val="0"/>
      </c:catAx>
      <c:valAx>
        <c:axId val="24291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291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33333333333335"/>
          <c:y val="5.0925925925925923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成员信息!$AE$1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成员信息!$Y$2:$Y$21</c:f>
              <c:strCache>
                <c:ptCount val="3"/>
                <c:pt idx="0">
                  <c:v>YW</c:v>
                </c:pt>
                <c:pt idx="1">
                  <c:v>YF</c:v>
                </c:pt>
                <c:pt idx="2">
                  <c:v>XJ</c:v>
                </c:pt>
              </c:strCache>
            </c:strRef>
          </c:cat>
          <c:val>
            <c:numRef>
              <c:f>成员信息!$AE$2:$AE$21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43367240"/>
        <c:axId val="243367624"/>
      </c:barChart>
      <c:catAx>
        <c:axId val="243367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3367624"/>
        <c:crosses val="autoZero"/>
        <c:auto val="1"/>
        <c:lblAlgn val="ctr"/>
        <c:lblOffset val="100"/>
        <c:noMultiLvlLbl val="0"/>
      </c:catAx>
      <c:valAx>
        <c:axId val="243367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33672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444261</xdr:colOff>
      <xdr:row>0</xdr:row>
      <xdr:rowOff>30732</xdr:rowOff>
    </xdr:from>
    <xdr:to>
      <xdr:col>22</xdr:col>
      <xdr:colOff>305520</xdr:colOff>
      <xdr:row>22</xdr:row>
      <xdr:rowOff>143774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427726</xdr:colOff>
      <xdr:row>23</xdr:row>
      <xdr:rowOff>164978</xdr:rowOff>
    </xdr:from>
    <xdr:to>
      <xdr:col>22</xdr:col>
      <xdr:colOff>350448</xdr:colOff>
      <xdr:row>51</xdr:row>
      <xdr:rowOff>35943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95249</xdr:colOff>
      <xdr:row>0</xdr:row>
      <xdr:rowOff>191937</xdr:rowOff>
    </xdr:from>
    <xdr:to>
      <xdr:col>42</xdr:col>
      <xdr:colOff>637995</xdr:colOff>
      <xdr:row>20</xdr:row>
      <xdr:rowOff>125801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36840</xdr:colOff>
      <xdr:row>22</xdr:row>
      <xdr:rowOff>48163</xdr:rowOff>
    </xdr:from>
    <xdr:to>
      <xdr:col>39</xdr:col>
      <xdr:colOff>467263</xdr:colOff>
      <xdr:row>44</xdr:row>
      <xdr:rowOff>80871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</xdr:row>
          <xdr:rowOff>28575</xdr:rowOff>
        </xdr:from>
        <xdr:to>
          <xdr:col>8</xdr:col>
          <xdr:colOff>466725</xdr:colOff>
          <xdr:row>3</xdr:row>
          <xdr:rowOff>47625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47625</xdr:rowOff>
        </xdr:from>
        <xdr:to>
          <xdr:col>6</xdr:col>
          <xdr:colOff>438150</xdr:colOff>
          <xdr:row>2</xdr:row>
          <xdr:rowOff>66675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50"/>
  <sheetViews>
    <sheetView tabSelected="1" zoomScale="106" zoomScaleNormal="106" workbookViewId="0">
      <selection activeCell="D32" sqref="D32"/>
    </sheetView>
  </sheetViews>
  <sheetFormatPr defaultRowHeight="13.5" x14ac:dyDescent="0.15"/>
  <cols>
    <col min="1" max="1" width="10.125" style="7" customWidth="1"/>
    <col min="2" max="2" width="2" customWidth="1"/>
    <col min="3" max="3" width="1.75" customWidth="1"/>
    <col min="4" max="4" width="13.625" customWidth="1"/>
    <col min="5" max="5" width="16.125" style="3" customWidth="1"/>
    <col min="6" max="6" width="12.125" style="3" customWidth="1"/>
    <col min="7" max="7" width="9" style="3" customWidth="1"/>
    <col min="8" max="8" width="11.875" style="3" customWidth="1"/>
    <col min="9" max="9" width="12.125" style="3" customWidth="1"/>
    <col min="10" max="10" width="13.25" style="3" customWidth="1"/>
    <col min="11" max="11" width="9" style="3"/>
    <col min="12" max="12" width="2.5" customWidth="1"/>
    <col min="22" max="22" width="13.5" customWidth="1"/>
    <col min="24" max="24" width="14" customWidth="1"/>
    <col min="25" max="25" width="11.625" style="3" customWidth="1"/>
    <col min="26" max="26" width="11.125" style="3" customWidth="1"/>
    <col min="27" max="27" width="10.25" style="3" customWidth="1"/>
    <col min="28" max="28" width="11" style="3" customWidth="1"/>
    <col min="29" max="29" width="12.375" style="3" customWidth="1"/>
    <col min="30" max="31" width="12" style="3" customWidth="1"/>
  </cols>
  <sheetData>
    <row r="1" spans="1:31" ht="18.75" x14ac:dyDescent="0.15">
      <c r="A1" s="5" t="s">
        <v>25</v>
      </c>
      <c r="B1" s="1"/>
      <c r="C1" s="1"/>
      <c r="D1" s="8" t="s">
        <v>26</v>
      </c>
      <c r="E1" s="5" t="s">
        <v>18</v>
      </c>
      <c r="F1" s="5" t="s">
        <v>19</v>
      </c>
      <c r="G1" s="5" t="s">
        <v>20</v>
      </c>
      <c r="H1" s="5" t="s">
        <v>23</v>
      </c>
      <c r="I1" s="5" t="s">
        <v>21</v>
      </c>
      <c r="J1" s="5" t="s">
        <v>22</v>
      </c>
      <c r="K1" s="5" t="s">
        <v>24</v>
      </c>
      <c r="X1" s="8" t="s">
        <v>27</v>
      </c>
      <c r="Y1" s="5" t="s">
        <v>18</v>
      </c>
      <c r="Z1" s="5" t="s">
        <v>19</v>
      </c>
      <c r="AA1" s="5" t="s">
        <v>20</v>
      </c>
      <c r="AB1" s="5" t="s">
        <v>23</v>
      </c>
      <c r="AC1" s="5" t="s">
        <v>21</v>
      </c>
      <c r="AD1" s="5" t="s">
        <v>22</v>
      </c>
      <c r="AE1" s="5" t="s">
        <v>24</v>
      </c>
    </row>
    <row r="2" spans="1:31" x14ac:dyDescent="0.15">
      <c r="A2" s="7" t="s">
        <v>1</v>
      </c>
      <c r="E2" s="3" t="s">
        <v>67</v>
      </c>
      <c r="F2" s="3">
        <v>3</v>
      </c>
      <c r="G2" s="3">
        <v>0</v>
      </c>
      <c r="H2" s="6">
        <f>IF(AND(K2&gt;0, ISNUMBER(F2)), F2/K2, 0)</f>
        <v>1</v>
      </c>
      <c r="I2" s="3">
        <v>20</v>
      </c>
      <c r="J2" s="3">
        <v>0</v>
      </c>
      <c r="K2" s="3">
        <f>F2+G2</f>
        <v>3</v>
      </c>
      <c r="Y2" s="3" t="s">
        <v>55</v>
      </c>
      <c r="Z2" s="3">
        <v>2</v>
      </c>
      <c r="AA2" s="3">
        <v>0</v>
      </c>
      <c r="AB2" s="6">
        <f>IF(AND(AE2&gt;0, ISNUMBER(Z2)), Z2/AE2, 0)</f>
        <v>1</v>
      </c>
      <c r="AC2" s="3">
        <v>12</v>
      </c>
      <c r="AD2" s="3">
        <v>0</v>
      </c>
      <c r="AE2" s="3">
        <f>Z2+AA2</f>
        <v>2</v>
      </c>
    </row>
    <row r="3" spans="1:31" x14ac:dyDescent="0.15">
      <c r="A3" s="7" t="s">
        <v>2</v>
      </c>
      <c r="E3" s="3" t="s">
        <v>51</v>
      </c>
      <c r="F3" s="3">
        <v>2</v>
      </c>
      <c r="G3" s="3">
        <v>0</v>
      </c>
      <c r="H3" s="6">
        <f>IF(AND(K3&gt;0, ISNUMBER(F3)), F3/K3, 0)</f>
        <v>1</v>
      </c>
      <c r="I3" s="3">
        <v>12</v>
      </c>
      <c r="J3" s="3">
        <v>0</v>
      </c>
      <c r="K3" s="3">
        <f>F3+G3</f>
        <v>2</v>
      </c>
      <c r="Y3" s="3" t="s">
        <v>56</v>
      </c>
      <c r="Z3" s="3">
        <v>0</v>
      </c>
      <c r="AA3" s="3">
        <v>1</v>
      </c>
      <c r="AB3" s="6">
        <f>IF(AND(AE3&gt;0, ISNUMBER(Z3)), Z3/AE3, 0)</f>
        <v>0</v>
      </c>
      <c r="AC3" s="3">
        <v>0</v>
      </c>
      <c r="AD3" s="3">
        <v>-3</v>
      </c>
      <c r="AE3" s="3">
        <f>Z3+AA3</f>
        <v>1</v>
      </c>
    </row>
    <row r="4" spans="1:31" x14ac:dyDescent="0.15">
      <c r="A4" s="7" t="s">
        <v>3</v>
      </c>
      <c r="E4" s="3" t="s">
        <v>62</v>
      </c>
      <c r="F4" s="3">
        <v>2</v>
      </c>
      <c r="G4" s="3">
        <v>0</v>
      </c>
      <c r="H4" s="6">
        <f>IF(AND(K4&gt;0, ISNUMBER(F4)), F4/K4, 0)</f>
        <v>1</v>
      </c>
      <c r="I4" s="3">
        <v>11</v>
      </c>
      <c r="J4" s="3">
        <v>0</v>
      </c>
      <c r="K4" s="3">
        <f>F4+G4</f>
        <v>2</v>
      </c>
      <c r="Y4" s="3" t="s">
        <v>41</v>
      </c>
      <c r="Z4" s="3">
        <v>0</v>
      </c>
      <c r="AA4" s="3">
        <v>1</v>
      </c>
      <c r="AB4" s="6">
        <f>IF(AND(AE4&gt;0, ISNUMBER(Z4)), Z4/AE4, 0)</f>
        <v>0</v>
      </c>
      <c r="AC4" s="3">
        <v>0</v>
      </c>
      <c r="AD4" s="3">
        <v>-9</v>
      </c>
      <c r="AE4" s="3">
        <f>Z4+AA4</f>
        <v>1</v>
      </c>
    </row>
    <row r="5" spans="1:31" x14ac:dyDescent="0.15">
      <c r="A5" s="7" t="s">
        <v>4</v>
      </c>
      <c r="E5" s="3" t="s">
        <v>49</v>
      </c>
      <c r="F5" s="3">
        <v>2</v>
      </c>
      <c r="G5" s="3">
        <v>0</v>
      </c>
      <c r="H5" s="6">
        <f>IF(AND(K5&gt;0, ISNUMBER(F5)), F5/K5, 0)</f>
        <v>1</v>
      </c>
      <c r="I5" s="3">
        <v>10</v>
      </c>
      <c r="J5" s="3">
        <v>0</v>
      </c>
      <c r="K5" s="3">
        <f>F5+G5</f>
        <v>2</v>
      </c>
      <c r="AB5" s="6">
        <f t="shared" ref="AB5:AB26" si="0">IF(AND(AE5&gt;0, ISNUMBER(Z5)), Z5/AE5, 0)</f>
        <v>0</v>
      </c>
      <c r="AE5" s="3">
        <f t="shared" ref="AE5:AE26" si="1">Z5+AA5</f>
        <v>0</v>
      </c>
    </row>
    <row r="6" spans="1:31" x14ac:dyDescent="0.15">
      <c r="A6" s="7" t="s">
        <v>5</v>
      </c>
      <c r="E6" s="3" t="s">
        <v>43</v>
      </c>
      <c r="F6" s="3">
        <v>1</v>
      </c>
      <c r="G6" s="3">
        <v>0</v>
      </c>
      <c r="H6" s="6">
        <f>IF(AND(K6&gt;0, ISNUMBER(F6)), F6/K6, 0)</f>
        <v>1</v>
      </c>
      <c r="I6" s="3">
        <v>8</v>
      </c>
      <c r="J6" s="3">
        <v>0</v>
      </c>
      <c r="K6" s="3">
        <f>F6+G6</f>
        <v>1</v>
      </c>
      <c r="AB6" s="6">
        <f t="shared" si="0"/>
        <v>0</v>
      </c>
      <c r="AE6" s="3">
        <f t="shared" si="1"/>
        <v>0</v>
      </c>
    </row>
    <row r="7" spans="1:31" x14ac:dyDescent="0.15">
      <c r="A7" s="7" t="s">
        <v>6</v>
      </c>
      <c r="E7" s="3" t="s">
        <v>60</v>
      </c>
      <c r="F7" s="3">
        <v>1</v>
      </c>
      <c r="G7" s="3">
        <v>0</v>
      </c>
      <c r="H7" s="6">
        <f>IF(AND(K7&gt;0, ISNUMBER(F7)), F7/K7, 0)</f>
        <v>1</v>
      </c>
      <c r="I7" s="3">
        <v>8</v>
      </c>
      <c r="J7" s="3">
        <v>0</v>
      </c>
      <c r="K7" s="3">
        <f>F7+G7</f>
        <v>1</v>
      </c>
      <c r="AB7" s="6">
        <f t="shared" si="0"/>
        <v>0</v>
      </c>
      <c r="AE7" s="3">
        <f t="shared" si="1"/>
        <v>0</v>
      </c>
    </row>
    <row r="8" spans="1:31" x14ac:dyDescent="0.15">
      <c r="A8" s="7" t="s">
        <v>7</v>
      </c>
      <c r="E8" s="3" t="s">
        <v>46</v>
      </c>
      <c r="F8" s="3">
        <v>1</v>
      </c>
      <c r="G8" s="3">
        <v>0</v>
      </c>
      <c r="H8" s="6">
        <f>IF(AND(K8&gt;0, ISNUMBER(F8)), F8/K8, 0)</f>
        <v>1</v>
      </c>
      <c r="I8" s="3">
        <v>8</v>
      </c>
      <c r="J8" s="3">
        <v>0</v>
      </c>
      <c r="K8" s="3">
        <f>F8+G8</f>
        <v>1</v>
      </c>
      <c r="AB8" s="6">
        <f t="shared" si="0"/>
        <v>0</v>
      </c>
      <c r="AE8" s="3">
        <f t="shared" si="1"/>
        <v>0</v>
      </c>
    </row>
    <row r="9" spans="1:31" x14ac:dyDescent="0.15">
      <c r="A9" s="7" t="s">
        <v>37</v>
      </c>
      <c r="E9" s="3" t="s">
        <v>64</v>
      </c>
      <c r="F9" s="3">
        <v>1</v>
      </c>
      <c r="G9" s="3">
        <v>0</v>
      </c>
      <c r="H9" s="6">
        <f>IF(AND(K9&gt;0, ISNUMBER(F9)), F9/K9, 0)</f>
        <v>1</v>
      </c>
      <c r="I9" s="3">
        <v>6</v>
      </c>
      <c r="J9" s="3">
        <v>0</v>
      </c>
      <c r="K9" s="3">
        <f>F9+G9</f>
        <v>1</v>
      </c>
      <c r="AB9" s="6">
        <f t="shared" si="0"/>
        <v>0</v>
      </c>
      <c r="AE9" s="3">
        <f t="shared" si="1"/>
        <v>0</v>
      </c>
    </row>
    <row r="10" spans="1:31" x14ac:dyDescent="0.15">
      <c r="A10" s="7" t="s">
        <v>8</v>
      </c>
      <c r="E10" s="3" t="s">
        <v>45</v>
      </c>
      <c r="F10" s="3">
        <v>1</v>
      </c>
      <c r="G10" s="3">
        <v>0</v>
      </c>
      <c r="H10" s="6">
        <f>IF(AND(K10&gt;0, ISNUMBER(F10)), F10/K10, 0)</f>
        <v>1</v>
      </c>
      <c r="I10" s="3">
        <v>6</v>
      </c>
      <c r="J10" s="3">
        <v>0</v>
      </c>
      <c r="K10" s="3">
        <f>F10+G10</f>
        <v>1</v>
      </c>
      <c r="AB10" s="6">
        <f t="shared" si="0"/>
        <v>0</v>
      </c>
      <c r="AE10" s="3">
        <f t="shared" si="1"/>
        <v>0</v>
      </c>
    </row>
    <row r="11" spans="1:31" x14ac:dyDescent="0.15">
      <c r="A11" s="7" t="s">
        <v>9</v>
      </c>
      <c r="E11" s="3" t="s">
        <v>54</v>
      </c>
      <c r="F11" s="3">
        <v>1</v>
      </c>
      <c r="G11" s="3">
        <v>0</v>
      </c>
      <c r="H11" s="6">
        <f>IF(AND(K11&gt;0, ISNUMBER(F11)), F11/K11, 0)</f>
        <v>1</v>
      </c>
      <c r="I11" s="3">
        <v>4</v>
      </c>
      <c r="J11" s="3">
        <v>0</v>
      </c>
      <c r="K11" s="3">
        <f>F11+G11</f>
        <v>1</v>
      </c>
      <c r="AB11" s="6">
        <f t="shared" si="0"/>
        <v>0</v>
      </c>
      <c r="AE11" s="3">
        <f t="shared" si="1"/>
        <v>0</v>
      </c>
    </row>
    <row r="12" spans="1:31" x14ac:dyDescent="0.15">
      <c r="A12" s="7" t="s">
        <v>10</v>
      </c>
      <c r="E12" s="3" t="s">
        <v>57</v>
      </c>
      <c r="F12" s="3">
        <v>2</v>
      </c>
      <c r="G12" s="3">
        <v>1</v>
      </c>
      <c r="H12" s="6">
        <f>IF(AND(K12&gt;0, ISNUMBER(F12)), F12/K12, 0)</f>
        <v>0.66666666666666663</v>
      </c>
      <c r="I12" s="3">
        <v>8</v>
      </c>
      <c r="J12" s="3">
        <v>-3</v>
      </c>
      <c r="K12" s="3">
        <f>F12+G12</f>
        <v>3</v>
      </c>
      <c r="AB12" s="6">
        <f t="shared" si="0"/>
        <v>0</v>
      </c>
      <c r="AE12" s="3">
        <f t="shared" si="1"/>
        <v>0</v>
      </c>
    </row>
    <row r="13" spans="1:31" x14ac:dyDescent="0.15">
      <c r="A13" s="7" t="s">
        <v>14</v>
      </c>
      <c r="E13" s="3" t="s">
        <v>69</v>
      </c>
      <c r="F13" s="3">
        <v>1</v>
      </c>
      <c r="G13" s="3">
        <v>1</v>
      </c>
      <c r="H13" s="6">
        <f>IF(AND(K13&gt;0, ISNUMBER(F13)), F13/K13, 0)</f>
        <v>0.5</v>
      </c>
      <c r="I13" s="3">
        <v>7</v>
      </c>
      <c r="J13" s="3">
        <v>-6</v>
      </c>
      <c r="K13" s="3">
        <f>F13+G13</f>
        <v>2</v>
      </c>
      <c r="AB13" s="6">
        <f t="shared" si="0"/>
        <v>0</v>
      </c>
      <c r="AE13" s="3">
        <f t="shared" si="1"/>
        <v>0</v>
      </c>
    </row>
    <row r="14" spans="1:31" x14ac:dyDescent="0.15">
      <c r="A14" s="7" t="s">
        <v>17</v>
      </c>
      <c r="E14" s="3" t="s">
        <v>65</v>
      </c>
      <c r="F14" s="3">
        <v>1</v>
      </c>
      <c r="G14" s="3">
        <v>1</v>
      </c>
      <c r="H14" s="6">
        <f>IF(AND(K14&gt;0, ISNUMBER(F14)), F14/K14, 0)</f>
        <v>0.5</v>
      </c>
      <c r="I14" s="3">
        <v>6</v>
      </c>
      <c r="J14" s="3">
        <v>-4</v>
      </c>
      <c r="K14" s="3">
        <f>F14+G14</f>
        <v>2</v>
      </c>
      <c r="AB14" s="6">
        <f t="shared" si="0"/>
        <v>0</v>
      </c>
      <c r="AE14" s="3">
        <f t="shared" si="1"/>
        <v>0</v>
      </c>
    </row>
    <row r="15" spans="1:31" x14ac:dyDescent="0.15">
      <c r="A15" s="7" t="s">
        <v>32</v>
      </c>
      <c r="E15" s="3" t="s">
        <v>48</v>
      </c>
      <c r="F15" s="3">
        <v>1</v>
      </c>
      <c r="G15" s="3">
        <v>1</v>
      </c>
      <c r="H15" s="6">
        <f>IF(AND(K15&gt;0, ISNUMBER(F15)), F15/K15, 0)</f>
        <v>0.5</v>
      </c>
      <c r="I15" s="3">
        <v>5</v>
      </c>
      <c r="J15" s="3">
        <v>-7</v>
      </c>
      <c r="K15" s="3">
        <f>F15+G15</f>
        <v>2</v>
      </c>
      <c r="AB15" s="6">
        <f t="shared" si="0"/>
        <v>0</v>
      </c>
      <c r="AE15" s="3">
        <f t="shared" si="1"/>
        <v>0</v>
      </c>
    </row>
    <row r="16" spans="1:31" x14ac:dyDescent="0.15">
      <c r="A16" s="7" t="s">
        <v>35</v>
      </c>
      <c r="E16" s="3" t="s">
        <v>50</v>
      </c>
      <c r="F16" s="3">
        <v>1</v>
      </c>
      <c r="G16" s="3">
        <v>1</v>
      </c>
      <c r="H16" s="6">
        <f>IF(AND(K16&gt;0, ISNUMBER(F16)), F16/K16, 0)</f>
        <v>0.5</v>
      </c>
      <c r="I16" s="3">
        <v>2</v>
      </c>
      <c r="J16" s="3">
        <v>-6</v>
      </c>
      <c r="K16" s="3">
        <f>F16+G16</f>
        <v>2</v>
      </c>
      <c r="AB16" s="6">
        <f t="shared" si="0"/>
        <v>0</v>
      </c>
      <c r="AE16" s="3">
        <f t="shared" si="1"/>
        <v>0</v>
      </c>
    </row>
    <row r="17" spans="5:31" x14ac:dyDescent="0.15">
      <c r="E17" s="3" t="s">
        <v>70</v>
      </c>
      <c r="F17" s="3">
        <v>2</v>
      </c>
      <c r="G17" s="3">
        <v>3</v>
      </c>
      <c r="H17" s="6">
        <f>IF(AND(K17&gt;0, ISNUMBER(F17)), F17/K17, 0)</f>
        <v>0.4</v>
      </c>
      <c r="I17" s="3">
        <v>12</v>
      </c>
      <c r="J17" s="3">
        <v>-14</v>
      </c>
      <c r="K17" s="3">
        <f>F17+G17</f>
        <v>5</v>
      </c>
      <c r="AB17" s="6">
        <f t="shared" si="0"/>
        <v>0</v>
      </c>
      <c r="AE17" s="3">
        <f t="shared" si="1"/>
        <v>0</v>
      </c>
    </row>
    <row r="18" spans="5:31" x14ac:dyDescent="0.15">
      <c r="E18" s="3" t="s">
        <v>58</v>
      </c>
      <c r="F18" s="3">
        <v>1</v>
      </c>
      <c r="G18" s="3">
        <v>2</v>
      </c>
      <c r="H18" s="6">
        <f>IF(AND(K18&gt;0, ISNUMBER(F18)), F18/K18, 0)</f>
        <v>0.33333333333333331</v>
      </c>
      <c r="I18" s="3">
        <v>3</v>
      </c>
      <c r="J18" s="3">
        <v>-12</v>
      </c>
      <c r="K18" s="3">
        <f>F18+G18</f>
        <v>3</v>
      </c>
      <c r="AB18" s="6">
        <f t="shared" si="0"/>
        <v>0</v>
      </c>
      <c r="AE18" s="3">
        <f t="shared" si="1"/>
        <v>0</v>
      </c>
    </row>
    <row r="19" spans="5:31" x14ac:dyDescent="0.15">
      <c r="E19" s="3" t="s">
        <v>52</v>
      </c>
      <c r="F19" s="3">
        <v>1</v>
      </c>
      <c r="G19" s="3">
        <v>3</v>
      </c>
      <c r="H19" s="6">
        <f>IF(AND(K19&gt;0, ISNUMBER(F19)), F19/K19, 0)</f>
        <v>0.25</v>
      </c>
      <c r="I19" s="3">
        <v>2</v>
      </c>
      <c r="J19" s="3">
        <v>-12</v>
      </c>
      <c r="K19" s="3">
        <f>F19+G19</f>
        <v>4</v>
      </c>
      <c r="AB19" s="6">
        <f t="shared" si="0"/>
        <v>0</v>
      </c>
      <c r="AE19" s="3">
        <f t="shared" si="1"/>
        <v>0</v>
      </c>
    </row>
    <row r="20" spans="5:31" x14ac:dyDescent="0.15">
      <c r="E20" s="3" t="s">
        <v>42</v>
      </c>
      <c r="F20" s="3">
        <v>0</v>
      </c>
      <c r="G20" s="3">
        <v>2</v>
      </c>
      <c r="H20" s="6">
        <f>IF(AND(K20&gt;0, ISNUMBER(F20)), F20/K20, 0)</f>
        <v>0</v>
      </c>
      <c r="I20" s="3">
        <v>0</v>
      </c>
      <c r="J20" s="3">
        <v>-9</v>
      </c>
      <c r="K20" s="3">
        <f>F20+G20</f>
        <v>2</v>
      </c>
      <c r="AB20" s="6">
        <f t="shared" si="0"/>
        <v>0</v>
      </c>
      <c r="AE20" s="3">
        <f t="shared" si="1"/>
        <v>0</v>
      </c>
    </row>
    <row r="21" spans="5:31" x14ac:dyDescent="0.15">
      <c r="E21" s="3" t="s">
        <v>59</v>
      </c>
      <c r="F21" s="3">
        <v>0</v>
      </c>
      <c r="G21" s="3">
        <v>1</v>
      </c>
      <c r="H21" s="6">
        <f>IF(AND(K21&gt;0, ISNUMBER(F21)), F21/K21, 0)</f>
        <v>0</v>
      </c>
      <c r="I21" s="3">
        <v>0</v>
      </c>
      <c r="J21" s="3">
        <v>-8</v>
      </c>
      <c r="K21" s="3">
        <f>F21+G21</f>
        <v>1</v>
      </c>
      <c r="AB21" s="6">
        <f t="shared" si="0"/>
        <v>0</v>
      </c>
      <c r="AE21" s="3">
        <f t="shared" si="1"/>
        <v>0</v>
      </c>
    </row>
    <row r="22" spans="5:31" x14ac:dyDescent="0.15">
      <c r="E22" s="3" t="s">
        <v>61</v>
      </c>
      <c r="F22" s="3">
        <v>0</v>
      </c>
      <c r="G22" s="3">
        <v>1</v>
      </c>
      <c r="H22" s="6">
        <f>IF(AND(K22&gt;0, ISNUMBER(F22)), F22/K22, 0)</f>
        <v>0</v>
      </c>
      <c r="I22" s="3">
        <v>0</v>
      </c>
      <c r="J22" s="3">
        <v>-8</v>
      </c>
      <c r="K22" s="3">
        <f>F22+G22</f>
        <v>1</v>
      </c>
      <c r="AB22" s="6">
        <f t="shared" si="0"/>
        <v>0</v>
      </c>
      <c r="AE22" s="3">
        <f t="shared" si="1"/>
        <v>0</v>
      </c>
    </row>
    <row r="23" spans="5:31" x14ac:dyDescent="0.15">
      <c r="E23" s="3" t="s">
        <v>63</v>
      </c>
      <c r="F23" s="3">
        <v>0</v>
      </c>
      <c r="G23" s="3">
        <v>2</v>
      </c>
      <c r="H23" s="6">
        <f>IF(AND(K23&gt;0, ISNUMBER(F23)), F23/K23, 0)</f>
        <v>0</v>
      </c>
      <c r="I23" s="3">
        <v>0</v>
      </c>
      <c r="J23" s="3">
        <v>-12</v>
      </c>
      <c r="K23" s="3">
        <f>F23+G23</f>
        <v>2</v>
      </c>
      <c r="AB23" s="6">
        <f t="shared" si="0"/>
        <v>0</v>
      </c>
      <c r="AE23" s="3">
        <f t="shared" si="1"/>
        <v>0</v>
      </c>
    </row>
    <row r="24" spans="5:31" x14ac:dyDescent="0.15">
      <c r="E24" s="3" t="s">
        <v>66</v>
      </c>
      <c r="F24" s="3">
        <v>0</v>
      </c>
      <c r="G24" s="3">
        <v>2</v>
      </c>
      <c r="H24" s="6">
        <f>IF(AND(K24&gt;0, ISNUMBER(F24)), F24/K24, 0)</f>
        <v>0</v>
      </c>
      <c r="I24" s="3">
        <v>0</v>
      </c>
      <c r="J24" s="3">
        <v>-8</v>
      </c>
      <c r="K24" s="3">
        <f>F24+G24</f>
        <v>2</v>
      </c>
      <c r="AB24" s="6">
        <f t="shared" si="0"/>
        <v>0</v>
      </c>
      <c r="AE24" s="3">
        <f t="shared" si="1"/>
        <v>0</v>
      </c>
    </row>
    <row r="25" spans="5:31" x14ac:dyDescent="0.15">
      <c r="E25" s="3" t="s">
        <v>68</v>
      </c>
      <c r="F25" s="3">
        <v>0</v>
      </c>
      <c r="G25" s="3">
        <v>1</v>
      </c>
      <c r="H25" s="6">
        <f>IF(AND(K25&gt;0, ISNUMBER(F25)), F25/K25, 0)</f>
        <v>0</v>
      </c>
      <c r="I25" s="3">
        <v>0</v>
      </c>
      <c r="J25" s="3">
        <v>-5</v>
      </c>
      <c r="K25" s="3">
        <f>F25+G25</f>
        <v>1</v>
      </c>
      <c r="AB25" s="6">
        <f t="shared" si="0"/>
        <v>0</v>
      </c>
      <c r="AE25" s="3">
        <f t="shared" si="1"/>
        <v>0</v>
      </c>
    </row>
    <row r="26" spans="5:31" x14ac:dyDescent="0.15">
      <c r="E26" s="3" t="s">
        <v>53</v>
      </c>
      <c r="F26" s="3">
        <v>0</v>
      </c>
      <c r="G26" s="3">
        <v>1</v>
      </c>
      <c r="H26" s="6">
        <f>IF(AND(K26&gt;0, ISNUMBER(F26)), F26/K26, 0)</f>
        <v>0</v>
      </c>
      <c r="I26" s="3">
        <v>0</v>
      </c>
      <c r="J26" s="3">
        <v>-3</v>
      </c>
      <c r="K26" s="3">
        <f>F26+G26</f>
        <v>1</v>
      </c>
      <c r="AB26" s="6">
        <f t="shared" si="0"/>
        <v>0</v>
      </c>
      <c r="AE26" s="3">
        <f t="shared" si="1"/>
        <v>0</v>
      </c>
    </row>
    <row r="27" spans="5:31" x14ac:dyDescent="0.15">
      <c r="E27" s="3" t="s">
        <v>44</v>
      </c>
      <c r="F27" s="3">
        <v>0</v>
      </c>
      <c r="G27" s="3">
        <v>1</v>
      </c>
      <c r="H27" s="6">
        <f>IF(AND(K27&gt;0, ISNUMBER(F27)), F27/K27, 0)</f>
        <v>0</v>
      </c>
      <c r="I27" s="3">
        <v>0</v>
      </c>
      <c r="J27" s="3">
        <v>-13</v>
      </c>
      <c r="K27" s="3">
        <f>F27+G27</f>
        <v>1</v>
      </c>
      <c r="AB27" s="6"/>
    </row>
    <row r="28" spans="5:31" x14ac:dyDescent="0.15">
      <c r="E28" s="3" t="s">
        <v>47</v>
      </c>
      <c r="F28" s="3">
        <v>0</v>
      </c>
      <c r="G28" s="3">
        <v>1</v>
      </c>
      <c r="H28" s="6">
        <f>IF(AND(K28&gt;0, ISNUMBER(F28)), F28/K28, 0)</f>
        <v>0</v>
      </c>
      <c r="I28" s="3">
        <v>0</v>
      </c>
      <c r="J28" s="3">
        <v>-8</v>
      </c>
      <c r="K28" s="3">
        <f>F28+G28</f>
        <v>1</v>
      </c>
      <c r="AB28" s="6"/>
    </row>
    <row r="29" spans="5:31" x14ac:dyDescent="0.15">
      <c r="H29" s="6">
        <f t="shared" ref="H2:H36" si="2">IF(AND(K29&gt;0, ISNUMBER(F29)), F29/K29, 0)</f>
        <v>0</v>
      </c>
      <c r="K29" s="3">
        <f t="shared" ref="K2:K36" si="3">F29+G29</f>
        <v>0</v>
      </c>
      <c r="AB29" s="6"/>
    </row>
    <row r="30" spans="5:31" x14ac:dyDescent="0.15">
      <c r="H30" s="6">
        <f t="shared" si="2"/>
        <v>0</v>
      </c>
      <c r="K30" s="3">
        <f t="shared" si="3"/>
        <v>0</v>
      </c>
      <c r="AB30" s="6"/>
    </row>
    <row r="31" spans="5:31" x14ac:dyDescent="0.15">
      <c r="H31" s="6">
        <f t="shared" si="2"/>
        <v>0</v>
      </c>
      <c r="K31" s="3">
        <f t="shared" si="3"/>
        <v>0</v>
      </c>
      <c r="AB31" s="6"/>
    </row>
    <row r="32" spans="5:31" x14ac:dyDescent="0.15">
      <c r="H32" s="6">
        <f t="shared" si="2"/>
        <v>0</v>
      </c>
      <c r="K32" s="3">
        <f t="shared" si="3"/>
        <v>0</v>
      </c>
      <c r="AB32" s="6"/>
    </row>
    <row r="33" spans="8:28" x14ac:dyDescent="0.15">
      <c r="H33" s="6">
        <f t="shared" si="2"/>
        <v>0</v>
      </c>
      <c r="K33" s="3">
        <f t="shared" si="3"/>
        <v>0</v>
      </c>
      <c r="AB33" s="6"/>
    </row>
    <row r="34" spans="8:28" x14ac:dyDescent="0.15">
      <c r="H34" s="6">
        <f t="shared" si="2"/>
        <v>0</v>
      </c>
      <c r="K34" s="3">
        <f t="shared" si="3"/>
        <v>0</v>
      </c>
      <c r="AB34" s="6"/>
    </row>
    <row r="35" spans="8:28" x14ac:dyDescent="0.15">
      <c r="H35" s="6">
        <f t="shared" si="2"/>
        <v>0</v>
      </c>
      <c r="K35" s="3">
        <f t="shared" si="3"/>
        <v>0</v>
      </c>
      <c r="AB35" s="6"/>
    </row>
    <row r="36" spans="8:28" x14ac:dyDescent="0.15">
      <c r="H36" s="6">
        <f t="shared" si="2"/>
        <v>0</v>
      </c>
      <c r="K36" s="3">
        <f t="shared" si="3"/>
        <v>0</v>
      </c>
      <c r="AB36" s="6"/>
    </row>
    <row r="37" spans="8:28" x14ac:dyDescent="0.15">
      <c r="AB37" s="6"/>
    </row>
    <row r="38" spans="8:28" x14ac:dyDescent="0.15">
      <c r="AB38" s="6"/>
    </row>
    <row r="39" spans="8:28" x14ac:dyDescent="0.15">
      <c r="AB39" s="6"/>
    </row>
    <row r="40" spans="8:28" x14ac:dyDescent="0.15">
      <c r="AB40" s="6"/>
    </row>
    <row r="41" spans="8:28" x14ac:dyDescent="0.15">
      <c r="AB41" s="6"/>
    </row>
    <row r="42" spans="8:28" x14ac:dyDescent="0.15">
      <c r="AB42" s="6"/>
    </row>
    <row r="43" spans="8:28" x14ac:dyDescent="0.15">
      <c r="AB43" s="6"/>
    </row>
    <row r="44" spans="8:28" x14ac:dyDescent="0.15">
      <c r="AB44" s="6"/>
    </row>
    <row r="45" spans="8:28" x14ac:dyDescent="0.15">
      <c r="AB45" s="6"/>
    </row>
    <row r="46" spans="8:28" x14ac:dyDescent="0.15">
      <c r="AB46" s="6"/>
    </row>
    <row r="47" spans="8:28" x14ac:dyDescent="0.15">
      <c r="AB47" s="6"/>
    </row>
    <row r="48" spans="8:28" x14ac:dyDescent="0.15">
      <c r="AB48" s="6"/>
    </row>
    <row r="49" spans="28:28" x14ac:dyDescent="0.15">
      <c r="AB49" s="6"/>
    </row>
    <row r="50" spans="28:28" x14ac:dyDescent="0.15">
      <c r="AB50" s="6"/>
    </row>
  </sheetData>
  <sortState ref="X2:AE4">
    <sortCondition descending="1" ref="AB2:AB4"/>
    <sortCondition descending="1" ref="Z2:Z4"/>
    <sortCondition descending="1" ref="AC2:AC4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76"/>
  <sheetViews>
    <sheetView workbookViewId="0">
      <selection activeCell="J7" sqref="J7"/>
    </sheetView>
  </sheetViews>
  <sheetFormatPr defaultRowHeight="13.5" x14ac:dyDescent="0.15"/>
  <cols>
    <col min="1" max="1" width="14" customWidth="1"/>
    <col min="2" max="2" width="11.125" customWidth="1"/>
    <col min="3" max="3" width="10.5" customWidth="1"/>
    <col min="4" max="4" width="10.375" customWidth="1"/>
    <col min="5" max="5" width="13.5" customWidth="1"/>
    <col min="6" max="6" width="11.375" customWidth="1"/>
    <col min="12" max="12" width="13.125" customWidth="1"/>
    <col min="13" max="13" width="15.875" customWidth="1"/>
    <col min="14" max="14" width="16" customWidth="1"/>
    <col min="15" max="15" width="12.625" customWidth="1"/>
    <col min="16" max="16" width="13.25" customWidth="1"/>
    <col min="17" max="17" width="10.625" customWidth="1"/>
  </cols>
  <sheetData>
    <row r="1" spans="1:17" x14ac:dyDescent="0.15">
      <c r="A1" s="2" t="s">
        <v>0</v>
      </c>
      <c r="B1" s="9" t="s">
        <v>15</v>
      </c>
      <c r="C1" s="9"/>
      <c r="D1" s="9" t="s">
        <v>16</v>
      </c>
      <c r="E1" s="9"/>
      <c r="F1" s="2" t="s">
        <v>11</v>
      </c>
      <c r="L1" s="5"/>
      <c r="M1" s="5"/>
      <c r="N1" s="5"/>
      <c r="O1" s="5"/>
      <c r="P1" s="5"/>
      <c r="Q1" s="5"/>
    </row>
    <row r="2" spans="1:17" x14ac:dyDescent="0.15">
      <c r="A2" s="4">
        <f ca="1">TODAY()</f>
        <v>42045</v>
      </c>
      <c r="B2" s="3" t="s">
        <v>33</v>
      </c>
      <c r="C2" s="3" t="s">
        <v>34</v>
      </c>
      <c r="D2" s="3" t="s">
        <v>28</v>
      </c>
      <c r="E2" s="3" t="s">
        <v>31</v>
      </c>
      <c r="F2" s="3">
        <v>5</v>
      </c>
      <c r="L2" s="3"/>
      <c r="M2" s="3"/>
      <c r="N2" s="3"/>
      <c r="O2" s="6"/>
      <c r="P2" s="3"/>
      <c r="Q2" s="3"/>
    </row>
    <row r="3" spans="1:17" x14ac:dyDescent="0.15">
      <c r="A3" s="4">
        <f t="shared" ref="A3:A26" ca="1" si="0">TODAY()</f>
        <v>42045</v>
      </c>
      <c r="B3" s="3" t="s">
        <v>36</v>
      </c>
      <c r="C3" s="3" t="s">
        <v>28</v>
      </c>
      <c r="D3" s="3" t="s">
        <v>33</v>
      </c>
      <c r="E3" s="3" t="s">
        <v>34</v>
      </c>
      <c r="F3" s="3">
        <v>3</v>
      </c>
      <c r="L3" s="3"/>
      <c r="M3" s="3"/>
      <c r="N3" s="3"/>
      <c r="O3" s="6"/>
      <c r="P3" s="3"/>
      <c r="Q3" s="3"/>
    </row>
    <row r="4" spans="1:17" x14ac:dyDescent="0.15">
      <c r="A4" s="4">
        <f t="shared" ca="1" si="0"/>
        <v>42045</v>
      </c>
      <c r="B4" s="3" t="s">
        <v>36</v>
      </c>
      <c r="C4" s="3" t="s">
        <v>28</v>
      </c>
      <c r="D4" s="3" t="s">
        <v>33</v>
      </c>
      <c r="E4" s="3" t="s">
        <v>31</v>
      </c>
      <c r="F4" s="3">
        <v>7</v>
      </c>
      <c r="L4" s="3"/>
      <c r="M4" s="3"/>
      <c r="N4" s="3"/>
      <c r="O4" s="6"/>
      <c r="P4" s="3"/>
      <c r="Q4" s="3"/>
    </row>
    <row r="5" spans="1:17" x14ac:dyDescent="0.15">
      <c r="A5" s="4">
        <f t="shared" ca="1" si="0"/>
        <v>42045</v>
      </c>
      <c r="B5" s="3" t="s">
        <v>33</v>
      </c>
      <c r="C5" s="3" t="s">
        <v>28</v>
      </c>
      <c r="D5" s="3" t="s">
        <v>29</v>
      </c>
      <c r="E5" s="3" t="s">
        <v>31</v>
      </c>
      <c r="F5" s="3">
        <v>8</v>
      </c>
      <c r="L5" s="3"/>
      <c r="M5" s="3"/>
      <c r="N5" s="3"/>
      <c r="O5" s="6"/>
      <c r="P5" s="3"/>
      <c r="Q5" s="3"/>
    </row>
    <row r="6" spans="1:17" x14ac:dyDescent="0.15">
      <c r="A6" s="4">
        <f t="shared" ca="1" si="0"/>
        <v>42045</v>
      </c>
      <c r="B6" s="3" t="s">
        <v>29</v>
      </c>
      <c r="C6" s="3" t="s">
        <v>33</v>
      </c>
      <c r="D6" s="3" t="s">
        <v>36</v>
      </c>
      <c r="E6" s="3" t="s">
        <v>34</v>
      </c>
      <c r="F6" s="3">
        <v>8</v>
      </c>
      <c r="L6" s="3"/>
      <c r="M6" s="3"/>
      <c r="N6" s="3"/>
      <c r="O6" s="6"/>
      <c r="P6" s="3"/>
      <c r="Q6" s="3"/>
    </row>
    <row r="7" spans="1:17" x14ac:dyDescent="0.15">
      <c r="A7" s="4">
        <f t="shared" ca="1" si="0"/>
        <v>42045</v>
      </c>
      <c r="B7" s="3" t="s">
        <v>29</v>
      </c>
      <c r="C7" s="3" t="s">
        <v>34</v>
      </c>
      <c r="D7" s="3" t="s">
        <v>28</v>
      </c>
      <c r="E7" s="3" t="s">
        <v>31</v>
      </c>
      <c r="F7" s="3">
        <v>7</v>
      </c>
      <c r="L7" s="3"/>
      <c r="M7" s="3"/>
      <c r="N7" s="3"/>
      <c r="O7" s="6"/>
      <c r="P7" s="3"/>
      <c r="Q7" s="3"/>
    </row>
    <row r="8" spans="1:17" x14ac:dyDescent="0.15">
      <c r="A8" s="4">
        <f t="shared" ca="1" si="0"/>
        <v>42045</v>
      </c>
      <c r="B8" s="3" t="s">
        <v>36</v>
      </c>
      <c r="C8" s="3" t="s">
        <v>33</v>
      </c>
      <c r="D8" s="3" t="s">
        <v>28</v>
      </c>
      <c r="E8" s="3" t="s">
        <v>34</v>
      </c>
      <c r="F8" s="3">
        <v>2</v>
      </c>
      <c r="L8" s="3"/>
      <c r="M8" s="3"/>
      <c r="N8" s="3"/>
      <c r="O8" s="6"/>
      <c r="P8" s="3"/>
      <c r="Q8" s="3"/>
    </row>
    <row r="9" spans="1:17" x14ac:dyDescent="0.15">
      <c r="A9" s="4">
        <f t="shared" ca="1" si="0"/>
        <v>42045</v>
      </c>
      <c r="B9" s="3" t="s">
        <v>29</v>
      </c>
      <c r="C9" s="3" t="s">
        <v>38</v>
      </c>
      <c r="D9" s="3" t="s">
        <v>33</v>
      </c>
      <c r="E9" s="3" t="s">
        <v>36</v>
      </c>
      <c r="F9" s="3">
        <v>6</v>
      </c>
      <c r="L9" s="3"/>
      <c r="M9" s="3"/>
      <c r="N9" s="3"/>
      <c r="O9" s="6"/>
      <c r="P9" s="3"/>
      <c r="Q9" s="3"/>
    </row>
    <row r="10" spans="1:17" x14ac:dyDescent="0.15">
      <c r="A10" s="4">
        <f t="shared" ca="1" si="0"/>
        <v>42045</v>
      </c>
      <c r="B10" s="3" t="s">
        <v>28</v>
      </c>
      <c r="C10" s="3" t="s">
        <v>38</v>
      </c>
      <c r="D10" s="3" t="s">
        <v>39</v>
      </c>
      <c r="E10" s="3" t="s">
        <v>31</v>
      </c>
      <c r="F10" s="3">
        <v>6</v>
      </c>
      <c r="L10" s="3"/>
      <c r="M10" s="3"/>
      <c r="N10" s="3"/>
      <c r="O10" s="6"/>
      <c r="P10" s="3"/>
      <c r="Q10" s="3"/>
    </row>
    <row r="11" spans="1:17" x14ac:dyDescent="0.15">
      <c r="A11" s="4">
        <f t="shared" ca="1" si="0"/>
        <v>42045</v>
      </c>
      <c r="B11" s="3" t="s">
        <v>36</v>
      </c>
      <c r="C11" s="3" t="s">
        <v>38</v>
      </c>
      <c r="D11" s="3" t="s">
        <v>39</v>
      </c>
      <c r="E11" s="3" t="s">
        <v>33</v>
      </c>
      <c r="F11" s="3">
        <v>5</v>
      </c>
      <c r="L11" s="3"/>
      <c r="M11" s="3"/>
      <c r="N11" s="3"/>
      <c r="O11" s="6"/>
      <c r="P11" s="3"/>
      <c r="Q11" s="3"/>
    </row>
    <row r="12" spans="1:17" x14ac:dyDescent="0.15">
      <c r="A12" s="4">
        <f t="shared" ca="1" si="0"/>
        <v>42045</v>
      </c>
      <c r="B12" s="3" t="s">
        <v>29</v>
      </c>
      <c r="C12" s="3" t="s">
        <v>28</v>
      </c>
      <c r="D12" s="3" t="s">
        <v>34</v>
      </c>
      <c r="E12" s="3" t="s">
        <v>30</v>
      </c>
      <c r="F12" s="3">
        <v>7</v>
      </c>
      <c r="L12" s="3"/>
      <c r="M12" s="3"/>
      <c r="N12" s="3"/>
      <c r="O12" s="6"/>
      <c r="P12" s="3"/>
      <c r="Q12" s="3"/>
    </row>
    <row r="13" spans="1:17" x14ac:dyDescent="0.15">
      <c r="A13" s="4">
        <f t="shared" ca="1" si="0"/>
        <v>42045</v>
      </c>
      <c r="B13" s="3" t="s">
        <v>36</v>
      </c>
      <c r="C13" s="3" t="s">
        <v>38</v>
      </c>
      <c r="D13" s="3" t="s">
        <v>39</v>
      </c>
      <c r="E13" s="3" t="s">
        <v>31</v>
      </c>
      <c r="F13" s="3">
        <v>2</v>
      </c>
      <c r="L13" s="3"/>
      <c r="M13" s="3"/>
      <c r="N13" s="3"/>
      <c r="O13" s="6"/>
      <c r="P13" s="3"/>
      <c r="Q13" s="3"/>
    </row>
    <row r="14" spans="1:17" x14ac:dyDescent="0.15">
      <c r="A14" s="4">
        <f t="shared" ca="1" si="0"/>
        <v>42045</v>
      </c>
      <c r="B14" s="3" t="s">
        <v>36</v>
      </c>
      <c r="C14" s="3" t="s">
        <v>29</v>
      </c>
      <c r="D14" s="3" t="s">
        <v>34</v>
      </c>
      <c r="E14" s="3" t="s">
        <v>28</v>
      </c>
      <c r="F14" s="3">
        <v>10</v>
      </c>
      <c r="L14" s="3"/>
      <c r="M14" s="3"/>
      <c r="N14" s="3"/>
      <c r="O14" s="6"/>
      <c r="P14" s="3"/>
      <c r="Q14" s="3"/>
    </row>
    <row r="15" spans="1:17" x14ac:dyDescent="0.15">
      <c r="A15" s="4">
        <f t="shared" ca="1" si="0"/>
        <v>42045</v>
      </c>
      <c r="B15" s="3" t="s">
        <v>39</v>
      </c>
      <c r="C15" s="3" t="s">
        <v>38</v>
      </c>
      <c r="D15" s="3" t="s">
        <v>33</v>
      </c>
      <c r="E15" s="3" t="s">
        <v>31</v>
      </c>
      <c r="F15" s="3">
        <v>2</v>
      </c>
      <c r="L15" s="3"/>
      <c r="M15" s="3"/>
      <c r="N15" s="3"/>
      <c r="O15" s="6"/>
      <c r="P15" s="3"/>
      <c r="Q15" s="3"/>
    </row>
    <row r="16" spans="1:17" x14ac:dyDescent="0.15">
      <c r="A16" s="4">
        <f t="shared" ca="1" si="0"/>
        <v>42045</v>
      </c>
      <c r="B16" s="3" t="s">
        <v>29</v>
      </c>
      <c r="C16" s="3" t="s">
        <v>36</v>
      </c>
      <c r="D16" s="3" t="s">
        <v>34</v>
      </c>
      <c r="E16" s="3" t="s">
        <v>30</v>
      </c>
      <c r="F16" s="3">
        <v>2</v>
      </c>
      <c r="L16" s="3"/>
      <c r="M16" s="3"/>
      <c r="N16" s="3"/>
      <c r="O16" s="6"/>
      <c r="P16" s="3"/>
      <c r="Q16" s="3"/>
    </row>
    <row r="17" spans="1:17" x14ac:dyDescent="0.15">
      <c r="A17" s="4">
        <f t="shared" ca="1" si="0"/>
        <v>42045</v>
      </c>
      <c r="B17" s="3" t="s">
        <v>28</v>
      </c>
      <c r="C17" s="3" t="s">
        <v>31</v>
      </c>
      <c r="D17" s="3" t="s">
        <v>38</v>
      </c>
      <c r="E17" s="3" t="s">
        <v>39</v>
      </c>
      <c r="F17" s="3">
        <v>3</v>
      </c>
      <c r="L17" s="3"/>
      <c r="M17" s="3"/>
      <c r="N17" s="3"/>
      <c r="O17" s="6"/>
      <c r="P17" s="3"/>
      <c r="Q17" s="3"/>
    </row>
    <row r="18" spans="1:17" x14ac:dyDescent="0.15">
      <c r="A18" s="4">
        <f t="shared" ca="1" si="0"/>
        <v>42045</v>
      </c>
      <c r="B18" s="3" t="s">
        <v>33</v>
      </c>
      <c r="C18" s="3" t="s">
        <v>34</v>
      </c>
      <c r="D18" s="3" t="s">
        <v>36</v>
      </c>
      <c r="E18" s="3" t="s">
        <v>30</v>
      </c>
      <c r="F18" s="3">
        <v>3</v>
      </c>
      <c r="L18" s="3"/>
      <c r="M18" s="3"/>
      <c r="N18" s="3"/>
      <c r="O18" s="6"/>
      <c r="P18" s="3"/>
      <c r="Q18" s="3"/>
    </row>
    <row r="19" spans="1:17" x14ac:dyDescent="0.15">
      <c r="A19" s="4">
        <f t="shared" ca="1" si="0"/>
        <v>42045</v>
      </c>
      <c r="B19" s="3" t="s">
        <v>29</v>
      </c>
      <c r="C19" s="3" t="s">
        <v>39</v>
      </c>
      <c r="D19" s="3" t="s">
        <v>28</v>
      </c>
      <c r="E19" s="3" t="s">
        <v>38</v>
      </c>
      <c r="F19" s="3">
        <v>4</v>
      </c>
      <c r="L19" s="3"/>
      <c r="M19" s="3"/>
      <c r="N19" s="3"/>
      <c r="O19" s="6"/>
      <c r="P19" s="3"/>
      <c r="Q19" s="3"/>
    </row>
    <row r="20" spans="1:17" x14ac:dyDescent="0.15">
      <c r="A20" s="4">
        <f t="shared" ca="1" si="0"/>
        <v>42045</v>
      </c>
      <c r="B20" s="3" t="s">
        <v>36</v>
      </c>
      <c r="C20" s="3" t="s">
        <v>38</v>
      </c>
      <c r="D20" s="3" t="s">
        <v>31</v>
      </c>
      <c r="E20" s="3" t="s">
        <v>34</v>
      </c>
      <c r="F20" s="3">
        <v>13</v>
      </c>
      <c r="L20" s="3"/>
      <c r="M20" s="3"/>
      <c r="N20" s="3"/>
      <c r="O20" s="6"/>
      <c r="P20" s="3"/>
      <c r="Q20" s="3"/>
    </row>
    <row r="21" spans="1:17" x14ac:dyDescent="0.15">
      <c r="A21" s="4">
        <f t="shared" ca="1" si="0"/>
        <v>42045</v>
      </c>
      <c r="B21" s="3" t="s">
        <v>30</v>
      </c>
      <c r="C21" s="3" t="s">
        <v>33</v>
      </c>
      <c r="D21" s="3" t="s">
        <v>29</v>
      </c>
      <c r="E21" s="3" t="s">
        <v>28</v>
      </c>
      <c r="F21" s="3">
        <v>6</v>
      </c>
      <c r="L21" s="3"/>
      <c r="M21" s="3"/>
      <c r="N21" s="3"/>
      <c r="O21" s="6"/>
      <c r="P21" s="3"/>
      <c r="Q21" s="3"/>
    </row>
    <row r="22" spans="1:17" x14ac:dyDescent="0.15">
      <c r="A22" s="4">
        <f t="shared" ca="1" si="0"/>
        <v>42045</v>
      </c>
      <c r="B22" s="3" t="s">
        <v>39</v>
      </c>
      <c r="C22" s="3" t="s">
        <v>34</v>
      </c>
      <c r="D22" s="3" t="s">
        <v>38</v>
      </c>
      <c r="E22" s="3" t="s">
        <v>31</v>
      </c>
      <c r="F22" s="3">
        <v>8</v>
      </c>
      <c r="L22" s="3"/>
      <c r="M22" s="3"/>
      <c r="N22" s="3"/>
      <c r="O22" s="6"/>
      <c r="P22" s="3"/>
      <c r="Q22" s="3"/>
    </row>
    <row r="23" spans="1:17" x14ac:dyDescent="0.15">
      <c r="A23" s="4">
        <f t="shared" ca="1" si="0"/>
        <v>42045</v>
      </c>
      <c r="B23" s="3" t="s">
        <v>29</v>
      </c>
      <c r="C23" s="3" t="s">
        <v>34</v>
      </c>
      <c r="D23" s="3" t="s">
        <v>38</v>
      </c>
      <c r="E23" s="3" t="s">
        <v>39</v>
      </c>
      <c r="F23" s="3">
        <v>4</v>
      </c>
      <c r="L23" s="3"/>
      <c r="M23" s="3"/>
      <c r="N23" s="3"/>
      <c r="O23" s="6"/>
      <c r="P23" s="3"/>
      <c r="Q23" s="3"/>
    </row>
    <row r="24" spans="1:17" x14ac:dyDescent="0.15">
      <c r="A24" s="4">
        <f t="shared" ca="1" si="0"/>
        <v>42045</v>
      </c>
      <c r="B24" s="3" t="s">
        <v>30</v>
      </c>
      <c r="C24" s="3" t="s">
        <v>34</v>
      </c>
      <c r="D24" s="3" t="s">
        <v>38</v>
      </c>
      <c r="E24" s="3" t="s">
        <v>39</v>
      </c>
      <c r="F24" s="3">
        <v>5</v>
      </c>
      <c r="O24" s="6"/>
    </row>
    <row r="25" spans="1:17" x14ac:dyDescent="0.15">
      <c r="A25" s="4">
        <f t="shared" ca="1" si="0"/>
        <v>42045</v>
      </c>
      <c r="B25" s="3" t="s">
        <v>29</v>
      </c>
      <c r="C25" s="3" t="s">
        <v>40</v>
      </c>
      <c r="D25" s="3" t="s">
        <v>30</v>
      </c>
      <c r="E25" s="3" t="s">
        <v>34</v>
      </c>
      <c r="F25" s="3">
        <v>5</v>
      </c>
      <c r="O25" s="6"/>
    </row>
    <row r="26" spans="1:17" x14ac:dyDescent="0.15">
      <c r="A26" s="4">
        <f t="shared" ca="1" si="0"/>
        <v>42045</v>
      </c>
      <c r="B26" s="3" t="s">
        <v>30</v>
      </c>
      <c r="C26" s="3" t="s">
        <v>34</v>
      </c>
      <c r="D26" s="3" t="s">
        <v>29</v>
      </c>
      <c r="E26" s="3" t="s">
        <v>40</v>
      </c>
      <c r="F26" s="3">
        <v>7</v>
      </c>
      <c r="O26" s="6"/>
    </row>
    <row r="27" spans="1:17" x14ac:dyDescent="0.15">
      <c r="A27" s="3"/>
      <c r="B27" s="3"/>
      <c r="C27" s="3"/>
      <c r="D27" s="3"/>
      <c r="E27" s="3"/>
      <c r="O27" s="6"/>
    </row>
    <row r="28" spans="1:17" x14ac:dyDescent="0.15">
      <c r="A28" s="3"/>
      <c r="B28" s="3"/>
      <c r="C28" s="3"/>
      <c r="D28" s="3"/>
      <c r="E28" s="3"/>
      <c r="O28" s="6"/>
    </row>
    <row r="29" spans="1:17" x14ac:dyDescent="0.15">
      <c r="A29" s="3"/>
      <c r="B29" s="3"/>
      <c r="C29" s="3"/>
      <c r="D29" s="3"/>
      <c r="E29" s="3"/>
      <c r="O29" s="6"/>
    </row>
    <row r="30" spans="1:17" x14ac:dyDescent="0.15">
      <c r="A30" s="3"/>
      <c r="B30" s="3"/>
      <c r="C30" s="3"/>
      <c r="D30" s="3"/>
      <c r="E30" s="3"/>
      <c r="O30" s="6"/>
    </row>
    <row r="31" spans="1:17" x14ac:dyDescent="0.15">
      <c r="A31" s="3"/>
      <c r="B31" s="3"/>
      <c r="C31" s="3"/>
      <c r="D31" s="3"/>
      <c r="E31" s="3"/>
      <c r="O31" s="6"/>
    </row>
    <row r="32" spans="1:17" x14ac:dyDescent="0.15">
      <c r="A32" s="3"/>
      <c r="B32" s="3"/>
      <c r="C32" s="3"/>
      <c r="D32" s="3"/>
      <c r="E32" s="3"/>
      <c r="O32" s="6"/>
    </row>
    <row r="33" spans="1:15" x14ac:dyDescent="0.15">
      <c r="A33" s="3"/>
      <c r="B33" s="3"/>
      <c r="C33" s="3"/>
      <c r="D33" s="3"/>
      <c r="E33" s="3"/>
      <c r="O33" s="6"/>
    </row>
    <row r="34" spans="1:15" x14ac:dyDescent="0.15">
      <c r="A34" s="3"/>
      <c r="B34" s="3"/>
      <c r="C34" s="3"/>
      <c r="D34" s="3"/>
      <c r="E34" s="3"/>
      <c r="O34" s="6"/>
    </row>
    <row r="35" spans="1:15" x14ac:dyDescent="0.15">
      <c r="A35" s="3"/>
      <c r="B35" s="3"/>
      <c r="C35" s="3"/>
      <c r="D35" s="3"/>
      <c r="E35" s="3"/>
      <c r="O35" s="6"/>
    </row>
    <row r="36" spans="1:15" x14ac:dyDescent="0.15">
      <c r="A36" s="3"/>
      <c r="B36" s="3"/>
      <c r="C36" s="3"/>
      <c r="D36" s="3"/>
      <c r="E36" s="3"/>
      <c r="O36" s="6"/>
    </row>
    <row r="37" spans="1:15" x14ac:dyDescent="0.15">
      <c r="A37" s="3"/>
      <c r="B37" s="3"/>
      <c r="C37" s="3"/>
      <c r="D37" s="3"/>
      <c r="E37" s="3"/>
      <c r="O37" s="6"/>
    </row>
    <row r="38" spans="1:15" x14ac:dyDescent="0.15">
      <c r="A38" s="3"/>
      <c r="B38" s="3"/>
      <c r="C38" s="3"/>
      <c r="D38" s="3"/>
      <c r="E38" s="3"/>
      <c r="O38" s="6"/>
    </row>
    <row r="39" spans="1:15" x14ac:dyDescent="0.15">
      <c r="A39" s="3"/>
      <c r="B39" s="3"/>
      <c r="C39" s="3"/>
      <c r="D39" s="3"/>
      <c r="E39" s="3"/>
    </row>
    <row r="40" spans="1:15" x14ac:dyDescent="0.15">
      <c r="A40" s="3"/>
      <c r="B40" s="3"/>
      <c r="C40" s="3"/>
      <c r="D40" s="3"/>
      <c r="E40" s="3"/>
    </row>
    <row r="41" spans="1:15" x14ac:dyDescent="0.15">
      <c r="A41" s="3"/>
      <c r="B41" s="3"/>
      <c r="C41" s="3"/>
      <c r="D41" s="3"/>
      <c r="E41" s="3"/>
    </row>
    <row r="42" spans="1:15" x14ac:dyDescent="0.15">
      <c r="A42" s="3"/>
      <c r="B42" s="3"/>
      <c r="C42" s="3"/>
      <c r="D42" s="3"/>
      <c r="E42" s="3"/>
    </row>
    <row r="43" spans="1:15" x14ac:dyDescent="0.15">
      <c r="A43" s="3"/>
      <c r="B43" s="3"/>
      <c r="C43" s="3"/>
      <c r="D43" s="3"/>
      <c r="E43" s="3"/>
    </row>
    <row r="44" spans="1:15" x14ac:dyDescent="0.15">
      <c r="A44" s="3"/>
      <c r="B44" s="3"/>
      <c r="C44" s="3"/>
      <c r="D44" s="3"/>
      <c r="E44" s="3"/>
    </row>
    <row r="45" spans="1:15" x14ac:dyDescent="0.15">
      <c r="A45" s="3"/>
      <c r="B45" s="3"/>
      <c r="C45" s="3"/>
      <c r="D45" s="3"/>
      <c r="E45" s="3"/>
    </row>
    <row r="46" spans="1:15" x14ac:dyDescent="0.15">
      <c r="A46" s="3"/>
      <c r="B46" s="3"/>
      <c r="C46" s="3"/>
      <c r="D46" s="3"/>
      <c r="E46" s="3"/>
    </row>
    <row r="47" spans="1:15" x14ac:dyDescent="0.15">
      <c r="A47" s="3"/>
      <c r="B47" s="3"/>
      <c r="C47" s="3"/>
      <c r="D47" s="3"/>
      <c r="E47" s="3"/>
    </row>
    <row r="48" spans="1:15" x14ac:dyDescent="0.15">
      <c r="A48" s="3"/>
      <c r="B48" s="3"/>
      <c r="C48" s="3"/>
      <c r="D48" s="3"/>
      <c r="E48" s="3"/>
    </row>
    <row r="49" spans="1:5" x14ac:dyDescent="0.15">
      <c r="A49" s="3"/>
      <c r="B49" s="3"/>
      <c r="C49" s="3"/>
      <c r="D49" s="3"/>
      <c r="E49" s="3"/>
    </row>
    <row r="50" spans="1:5" x14ac:dyDescent="0.15">
      <c r="A50" s="3"/>
      <c r="B50" s="3"/>
      <c r="C50" s="3"/>
      <c r="D50" s="3"/>
      <c r="E50" s="3"/>
    </row>
    <row r="51" spans="1:5" x14ac:dyDescent="0.15">
      <c r="A51" s="3"/>
      <c r="B51" s="3"/>
      <c r="C51" s="3"/>
      <c r="D51" s="3"/>
      <c r="E51" s="3"/>
    </row>
    <row r="52" spans="1:5" x14ac:dyDescent="0.15">
      <c r="A52" s="3"/>
      <c r="B52" s="3"/>
      <c r="C52" s="3"/>
      <c r="D52" s="3"/>
      <c r="E52" s="3"/>
    </row>
    <row r="53" spans="1:5" x14ac:dyDescent="0.15">
      <c r="A53" s="3"/>
      <c r="B53" s="3"/>
      <c r="C53" s="3"/>
      <c r="D53" s="3"/>
      <c r="E53" s="3"/>
    </row>
    <row r="54" spans="1:5" x14ac:dyDescent="0.15">
      <c r="A54" s="3"/>
      <c r="B54" s="3"/>
      <c r="C54" s="3"/>
      <c r="D54" s="3"/>
      <c r="E54" s="3"/>
    </row>
    <row r="55" spans="1:5" x14ac:dyDescent="0.15">
      <c r="A55" s="3"/>
      <c r="B55" s="3"/>
      <c r="C55" s="3"/>
      <c r="D55" s="3"/>
      <c r="E55" s="3"/>
    </row>
    <row r="56" spans="1:5" x14ac:dyDescent="0.15">
      <c r="A56" s="3"/>
      <c r="B56" s="3"/>
      <c r="C56" s="3"/>
      <c r="D56" s="3"/>
      <c r="E56" s="3"/>
    </row>
    <row r="57" spans="1:5" x14ac:dyDescent="0.15">
      <c r="A57" s="3"/>
      <c r="B57" s="3"/>
      <c r="C57" s="3"/>
      <c r="D57" s="3"/>
      <c r="E57" s="3"/>
    </row>
    <row r="58" spans="1:5" x14ac:dyDescent="0.15">
      <c r="A58" s="3"/>
      <c r="B58" s="3"/>
      <c r="C58" s="3"/>
      <c r="D58" s="3"/>
      <c r="E58" s="3"/>
    </row>
    <row r="59" spans="1:5" x14ac:dyDescent="0.15">
      <c r="A59" s="3"/>
      <c r="B59" s="3"/>
      <c r="C59" s="3"/>
      <c r="D59" s="3"/>
      <c r="E59" s="3"/>
    </row>
    <row r="60" spans="1:5" x14ac:dyDescent="0.15">
      <c r="A60" s="3"/>
      <c r="B60" s="3"/>
      <c r="C60" s="3"/>
      <c r="D60" s="3"/>
      <c r="E60" s="3"/>
    </row>
    <row r="61" spans="1:5" x14ac:dyDescent="0.15">
      <c r="A61" s="3"/>
      <c r="B61" s="3"/>
      <c r="C61" s="3"/>
      <c r="D61" s="3"/>
      <c r="E61" s="3"/>
    </row>
    <row r="62" spans="1:5" x14ac:dyDescent="0.15">
      <c r="A62" s="3"/>
      <c r="B62" s="3"/>
      <c r="C62" s="3"/>
      <c r="D62" s="3"/>
      <c r="E62" s="3"/>
    </row>
    <row r="63" spans="1:5" x14ac:dyDescent="0.15">
      <c r="A63" s="3"/>
      <c r="B63" s="3"/>
      <c r="C63" s="3"/>
      <c r="D63" s="3"/>
      <c r="E63" s="3"/>
    </row>
    <row r="64" spans="1:5" x14ac:dyDescent="0.15">
      <c r="A64" s="3"/>
      <c r="B64" s="3"/>
      <c r="C64" s="3"/>
      <c r="D64" s="3"/>
      <c r="E64" s="3"/>
    </row>
    <row r="65" spans="1:5" x14ac:dyDescent="0.15">
      <c r="A65" s="3"/>
      <c r="B65" s="3"/>
      <c r="C65" s="3"/>
      <c r="D65" s="3"/>
      <c r="E65" s="3"/>
    </row>
    <row r="66" spans="1:5" x14ac:dyDescent="0.15">
      <c r="A66" s="3"/>
      <c r="B66" s="3"/>
      <c r="C66" s="3"/>
      <c r="D66" s="3"/>
      <c r="E66" s="3"/>
    </row>
    <row r="67" spans="1:5" x14ac:dyDescent="0.15">
      <c r="A67" s="3"/>
      <c r="B67" s="3"/>
      <c r="C67" s="3"/>
      <c r="D67" s="3"/>
      <c r="E67" s="3"/>
    </row>
    <row r="68" spans="1:5" x14ac:dyDescent="0.15">
      <c r="A68" s="3"/>
      <c r="B68" s="3"/>
      <c r="C68" s="3"/>
      <c r="D68" s="3"/>
      <c r="E68" s="3"/>
    </row>
    <row r="69" spans="1:5" x14ac:dyDescent="0.15">
      <c r="A69" s="3"/>
      <c r="B69" s="3"/>
      <c r="C69" s="3"/>
      <c r="D69" s="3"/>
      <c r="E69" s="3"/>
    </row>
    <row r="70" spans="1:5" x14ac:dyDescent="0.15">
      <c r="A70" s="3"/>
      <c r="B70" s="3"/>
      <c r="C70" s="3"/>
      <c r="D70" s="3"/>
      <c r="E70" s="3"/>
    </row>
    <row r="71" spans="1:5" x14ac:dyDescent="0.15">
      <c r="A71" s="3"/>
      <c r="B71" s="3"/>
      <c r="C71" s="3"/>
      <c r="D71" s="3"/>
      <c r="E71" s="3"/>
    </row>
    <row r="72" spans="1:5" x14ac:dyDescent="0.15">
      <c r="A72" s="3"/>
      <c r="B72" s="3"/>
      <c r="C72" s="3"/>
      <c r="D72" s="3"/>
      <c r="E72" s="3"/>
    </row>
    <row r="73" spans="1:5" x14ac:dyDescent="0.15">
      <c r="A73" s="3"/>
      <c r="B73" s="3"/>
      <c r="C73" s="3"/>
      <c r="D73" s="3"/>
      <c r="E73" s="3"/>
    </row>
    <row r="74" spans="1:5" x14ac:dyDescent="0.15">
      <c r="A74" s="3"/>
      <c r="B74" s="3"/>
      <c r="C74" s="3"/>
      <c r="D74" s="3"/>
      <c r="E74" s="3"/>
    </row>
    <row r="75" spans="1:5" x14ac:dyDescent="0.15">
      <c r="A75" s="3"/>
      <c r="B75" s="3"/>
      <c r="C75" s="3"/>
      <c r="D75" s="3"/>
      <c r="E75" s="3"/>
    </row>
    <row r="76" spans="1:5" x14ac:dyDescent="0.15">
      <c r="A76" s="3"/>
      <c r="B76" s="3"/>
      <c r="C76" s="3"/>
      <c r="D76" s="3"/>
      <c r="E76" s="3"/>
    </row>
  </sheetData>
  <mergeCells count="2">
    <mergeCell ref="B1:C1"/>
    <mergeCell ref="D1:E1"/>
  </mergeCells>
  <phoneticPr fontId="1" type="noConversion"/>
  <dataValidations count="2">
    <dataValidation type="list" allowBlank="1" showInputMessage="1" showErrorMessage="1" sqref="B2:E26 B27:B38">
      <formula1>成员</formula1>
    </dataValidation>
    <dataValidation type="whole" allowBlank="1" showInputMessage="1" showErrorMessage="1" promptTitle="输入分差" prompt="如比赛结果对阵一：对阵二 为 21：15，输入6， 如结果为15：26， 输入-6" sqref="F2">
      <formula1>-21</formula1>
      <formula2>21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defaultSize="0" autoLine="0" r:id="rId5">
            <anchor moveWithCells="1">
              <from>
                <xdr:col>7</xdr:col>
                <xdr:colOff>228600</xdr:colOff>
                <xdr:row>1</xdr:row>
                <xdr:rowOff>28575</xdr:rowOff>
              </from>
              <to>
                <xdr:col>8</xdr:col>
                <xdr:colOff>466725</xdr:colOff>
                <xdr:row>3</xdr:row>
                <xdr:rowOff>47625</xdr:rowOff>
              </to>
            </anchor>
          </controlPr>
        </control>
      </mc:Choice>
      <mc:Fallback>
        <control shapeId="103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50"/>
  <sheetViews>
    <sheetView workbookViewId="0">
      <selection activeCell="K5" sqref="K5"/>
    </sheetView>
  </sheetViews>
  <sheetFormatPr defaultRowHeight="13.5" x14ac:dyDescent="0.15"/>
  <cols>
    <col min="1" max="1" width="13.125" customWidth="1"/>
    <col min="2" max="2" width="15.875" customWidth="1"/>
    <col min="3" max="3" width="13.125" customWidth="1"/>
    <col min="4" max="4" width="13" customWidth="1"/>
  </cols>
  <sheetData>
    <row r="1" spans="1:4" x14ac:dyDescent="0.15">
      <c r="A1" s="2" t="s">
        <v>0</v>
      </c>
      <c r="B1" s="2" t="s">
        <v>12</v>
      </c>
      <c r="C1" s="2" t="s">
        <v>13</v>
      </c>
      <c r="D1" s="2" t="s">
        <v>11</v>
      </c>
    </row>
    <row r="2" spans="1:4" x14ac:dyDescent="0.15">
      <c r="A2" s="4">
        <f ca="1">TODAY()</f>
        <v>42045</v>
      </c>
      <c r="B2" s="3" t="s">
        <v>30</v>
      </c>
      <c r="C2" s="3" t="s">
        <v>33</v>
      </c>
      <c r="D2" s="3">
        <v>3</v>
      </c>
    </row>
    <row r="3" spans="1:4" x14ac:dyDescent="0.15">
      <c r="A3" s="4">
        <f ca="1">TODAY()</f>
        <v>42045</v>
      </c>
      <c r="B3" s="3" t="s">
        <v>30</v>
      </c>
      <c r="C3" s="3" t="s">
        <v>28</v>
      </c>
      <c r="D3" s="3">
        <v>9</v>
      </c>
    </row>
    <row r="4" spans="1:4" x14ac:dyDescent="0.15">
      <c r="A4" s="4"/>
      <c r="B4" s="3"/>
      <c r="C4" s="3"/>
      <c r="D4" s="3"/>
    </row>
    <row r="5" spans="1:4" x14ac:dyDescent="0.15">
      <c r="A5" s="3"/>
      <c r="B5" s="3"/>
      <c r="C5" s="3"/>
      <c r="D5" s="3"/>
    </row>
    <row r="6" spans="1:4" x14ac:dyDescent="0.15">
      <c r="A6" s="3"/>
      <c r="B6" s="3"/>
      <c r="C6" s="3"/>
      <c r="D6" s="3"/>
    </row>
    <row r="7" spans="1:4" x14ac:dyDescent="0.15">
      <c r="A7" s="3"/>
      <c r="B7" s="3"/>
      <c r="C7" s="3"/>
      <c r="D7" s="3"/>
    </row>
    <row r="8" spans="1:4" x14ac:dyDescent="0.15">
      <c r="A8" s="3"/>
      <c r="B8" s="3"/>
      <c r="C8" s="3"/>
      <c r="D8" s="3"/>
    </row>
    <row r="9" spans="1:4" x14ac:dyDescent="0.15">
      <c r="A9" s="3"/>
      <c r="B9" s="3"/>
      <c r="C9" s="3"/>
      <c r="D9" s="3"/>
    </row>
    <row r="10" spans="1:4" x14ac:dyDescent="0.15">
      <c r="A10" s="3"/>
      <c r="B10" s="3"/>
      <c r="C10" s="3"/>
      <c r="D10" s="3"/>
    </row>
    <row r="11" spans="1:4" x14ac:dyDescent="0.15">
      <c r="A11" s="3"/>
      <c r="B11" s="3"/>
      <c r="C11" s="3"/>
      <c r="D11" s="3"/>
    </row>
    <row r="12" spans="1:4" x14ac:dyDescent="0.15">
      <c r="A12" s="3"/>
      <c r="B12" s="3"/>
      <c r="C12" s="3"/>
      <c r="D12" s="3"/>
    </row>
    <row r="13" spans="1:4" x14ac:dyDescent="0.15">
      <c r="A13" s="3"/>
      <c r="B13" s="3"/>
      <c r="C13" s="3"/>
      <c r="D13" s="3"/>
    </row>
    <row r="14" spans="1:4" x14ac:dyDescent="0.15">
      <c r="A14" s="3"/>
      <c r="B14" s="3"/>
      <c r="C14" s="3"/>
      <c r="D14" s="3"/>
    </row>
    <row r="15" spans="1:4" x14ac:dyDescent="0.15">
      <c r="A15" s="3"/>
      <c r="B15" s="3"/>
      <c r="C15" s="3"/>
      <c r="D15" s="3"/>
    </row>
    <row r="16" spans="1:4" x14ac:dyDescent="0.15">
      <c r="A16" s="3"/>
      <c r="B16" s="3"/>
      <c r="C16" s="3"/>
      <c r="D16" s="3"/>
    </row>
    <row r="17" spans="1:4" x14ac:dyDescent="0.15">
      <c r="A17" s="3"/>
      <c r="B17" s="3"/>
      <c r="C17" s="3"/>
      <c r="D17" s="3"/>
    </row>
    <row r="18" spans="1:4" x14ac:dyDescent="0.15">
      <c r="A18" s="3"/>
      <c r="B18" s="3"/>
      <c r="C18" s="3"/>
      <c r="D18" s="3"/>
    </row>
    <row r="19" spans="1:4" x14ac:dyDescent="0.15">
      <c r="A19" s="3"/>
      <c r="B19" s="3"/>
      <c r="C19" s="3"/>
      <c r="D19" s="3"/>
    </row>
    <row r="20" spans="1:4" x14ac:dyDescent="0.15">
      <c r="A20" s="3"/>
      <c r="B20" s="3"/>
      <c r="C20" s="3"/>
      <c r="D20" s="3"/>
    </row>
    <row r="21" spans="1:4" x14ac:dyDescent="0.15">
      <c r="A21" s="3"/>
      <c r="B21" s="3"/>
      <c r="C21" s="3"/>
      <c r="D21" s="3"/>
    </row>
    <row r="22" spans="1:4" x14ac:dyDescent="0.15">
      <c r="A22" s="3"/>
      <c r="B22" s="3"/>
      <c r="C22" s="3"/>
      <c r="D22" s="3"/>
    </row>
    <row r="23" spans="1:4" x14ac:dyDescent="0.15">
      <c r="A23" s="3"/>
      <c r="B23" s="3"/>
      <c r="C23" s="3"/>
      <c r="D23" s="3"/>
    </row>
    <row r="24" spans="1:4" x14ac:dyDescent="0.15">
      <c r="A24" s="3"/>
      <c r="B24" s="3"/>
      <c r="C24" s="3"/>
      <c r="D24" s="3"/>
    </row>
    <row r="25" spans="1:4" x14ac:dyDescent="0.15">
      <c r="A25" s="3"/>
      <c r="B25" s="3"/>
      <c r="C25" s="3"/>
      <c r="D25" s="3"/>
    </row>
    <row r="26" spans="1:4" x14ac:dyDescent="0.15">
      <c r="A26" s="3"/>
      <c r="B26" s="3"/>
      <c r="C26" s="3"/>
      <c r="D26" s="3"/>
    </row>
    <row r="27" spans="1:4" x14ac:dyDescent="0.15">
      <c r="A27" s="3"/>
      <c r="B27" s="3"/>
      <c r="C27" s="3"/>
      <c r="D27" s="3"/>
    </row>
    <row r="28" spans="1:4" x14ac:dyDescent="0.15">
      <c r="A28" s="3"/>
      <c r="B28" s="3"/>
      <c r="C28" s="3"/>
      <c r="D28" s="3"/>
    </row>
    <row r="29" spans="1:4" x14ac:dyDescent="0.15">
      <c r="A29" s="3"/>
      <c r="B29" s="3"/>
      <c r="C29" s="3"/>
      <c r="D29" s="3"/>
    </row>
    <row r="30" spans="1:4" x14ac:dyDescent="0.15">
      <c r="A30" s="3"/>
      <c r="B30" s="3"/>
      <c r="C30" s="3"/>
      <c r="D30" s="3"/>
    </row>
    <row r="31" spans="1:4" x14ac:dyDescent="0.15">
      <c r="A31" s="3"/>
      <c r="B31" s="3"/>
      <c r="C31" s="3"/>
      <c r="D31" s="3"/>
    </row>
    <row r="32" spans="1:4" x14ac:dyDescent="0.15">
      <c r="A32" s="3"/>
      <c r="B32" s="3"/>
      <c r="C32" s="3"/>
      <c r="D32" s="3"/>
    </row>
    <row r="33" spans="1:4" x14ac:dyDescent="0.15">
      <c r="A33" s="3"/>
      <c r="B33" s="3"/>
      <c r="C33" s="3"/>
      <c r="D33" s="3"/>
    </row>
    <row r="34" spans="1:4" x14ac:dyDescent="0.15">
      <c r="A34" s="3"/>
      <c r="B34" s="3"/>
      <c r="C34" s="3"/>
      <c r="D34" s="3"/>
    </row>
    <row r="35" spans="1:4" x14ac:dyDescent="0.15">
      <c r="A35" s="3"/>
      <c r="B35" s="3"/>
      <c r="C35" s="3"/>
      <c r="D35" s="3"/>
    </row>
    <row r="36" spans="1:4" x14ac:dyDescent="0.15">
      <c r="A36" s="3"/>
      <c r="B36" s="3"/>
      <c r="C36" s="3"/>
      <c r="D36" s="3"/>
    </row>
    <row r="37" spans="1:4" x14ac:dyDescent="0.15">
      <c r="A37" s="3"/>
      <c r="B37" s="3"/>
      <c r="C37" s="3"/>
      <c r="D37" s="3"/>
    </row>
    <row r="38" spans="1:4" x14ac:dyDescent="0.15">
      <c r="A38" s="3"/>
      <c r="B38" s="3"/>
      <c r="C38" s="3"/>
      <c r="D38" s="3"/>
    </row>
    <row r="39" spans="1:4" x14ac:dyDescent="0.15">
      <c r="A39" s="3"/>
      <c r="B39" s="3"/>
      <c r="C39" s="3"/>
      <c r="D39" s="3"/>
    </row>
    <row r="40" spans="1:4" x14ac:dyDescent="0.15">
      <c r="A40" s="3"/>
      <c r="B40" s="3"/>
      <c r="C40" s="3"/>
      <c r="D40" s="3"/>
    </row>
    <row r="41" spans="1:4" x14ac:dyDescent="0.15">
      <c r="A41" s="3"/>
      <c r="B41" s="3"/>
      <c r="C41" s="3"/>
      <c r="D41" s="3"/>
    </row>
    <row r="42" spans="1:4" x14ac:dyDescent="0.15">
      <c r="A42" s="3"/>
      <c r="B42" s="3"/>
      <c r="C42" s="3"/>
      <c r="D42" s="3"/>
    </row>
    <row r="43" spans="1:4" x14ac:dyDescent="0.15">
      <c r="A43" s="3"/>
      <c r="B43" s="3"/>
      <c r="C43" s="3"/>
      <c r="D43" s="3"/>
    </row>
    <row r="44" spans="1:4" x14ac:dyDescent="0.15">
      <c r="A44" s="3"/>
      <c r="B44" s="3"/>
      <c r="C44" s="3"/>
      <c r="D44" s="3"/>
    </row>
    <row r="45" spans="1:4" x14ac:dyDescent="0.15">
      <c r="A45" s="3"/>
      <c r="B45" s="3"/>
      <c r="C45" s="3"/>
      <c r="D45" s="3"/>
    </row>
    <row r="46" spans="1:4" x14ac:dyDescent="0.15">
      <c r="A46" s="3"/>
      <c r="B46" s="3"/>
      <c r="C46" s="3"/>
      <c r="D46" s="3"/>
    </row>
    <row r="47" spans="1:4" x14ac:dyDescent="0.15">
      <c r="A47" s="3"/>
      <c r="B47" s="3"/>
      <c r="C47" s="3"/>
      <c r="D47" s="3"/>
    </row>
    <row r="48" spans="1:4" x14ac:dyDescent="0.15">
      <c r="A48" s="3"/>
      <c r="B48" s="3"/>
      <c r="C48" s="3"/>
      <c r="D48" s="3"/>
    </row>
    <row r="49" spans="1:4" x14ac:dyDescent="0.15">
      <c r="A49" s="3"/>
      <c r="B49" s="3"/>
      <c r="C49" s="3"/>
      <c r="D49" s="3"/>
    </row>
    <row r="50" spans="1:4" x14ac:dyDescent="0.15">
      <c r="A50" s="3"/>
      <c r="B50" s="3"/>
      <c r="C50" s="3"/>
      <c r="D50" s="3"/>
    </row>
  </sheetData>
  <phoneticPr fontId="1" type="noConversion"/>
  <dataValidations count="2">
    <dataValidation type="whole" showInputMessage="1" showErrorMessage="1" promptTitle="输入分差" prompt="如比赛结果对阵一：对阵二 为 21：15，输入6， 如结果为15：26， 输入-6" sqref="D2">
      <formula1>-21</formula1>
      <formula2>21</formula2>
    </dataValidation>
    <dataValidation type="list" allowBlank="1" showInputMessage="1" showErrorMessage="1" sqref="B2:B47 C2:C39">
      <formula1>成员</formula1>
    </dataValidation>
  </dataValidations>
  <pageMargins left="0.7" right="0.7" top="0.75" bottom="0.75" header="0.3" footer="0.3"/>
  <pageSetup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3082" r:id="rId4" name="CommandButton1">
          <controlPr defaultSize="0" autoLine="0" r:id="rId5">
            <anchor moveWithCells="1">
              <from>
                <xdr:col>5</xdr:col>
                <xdr:colOff>200025</xdr:colOff>
                <xdr:row>0</xdr:row>
                <xdr:rowOff>47625</xdr:rowOff>
              </from>
              <to>
                <xdr:col>6</xdr:col>
                <xdr:colOff>438150</xdr:colOff>
                <xdr:row>2</xdr:row>
                <xdr:rowOff>66675</xdr:rowOff>
              </to>
            </anchor>
          </controlPr>
        </control>
      </mc:Choice>
      <mc:Fallback>
        <control shapeId="3082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成员信息</vt:lpstr>
      <vt:lpstr>比赛数据-双打</vt:lpstr>
      <vt:lpstr>比赛数据-单打</vt:lpstr>
      <vt:lpstr>成员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</dc:creator>
  <cp:lastModifiedBy>Xiao</cp:lastModifiedBy>
  <dcterms:created xsi:type="dcterms:W3CDTF">2015-02-06T02:11:51Z</dcterms:created>
  <dcterms:modified xsi:type="dcterms:W3CDTF">2015-02-10T12:20:04Z</dcterms:modified>
</cp:coreProperties>
</file>